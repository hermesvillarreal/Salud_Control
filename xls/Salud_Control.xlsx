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es" sheetId="1" r:id="rId4"/>
    <sheet state="visible" name="Metas" sheetId="2" r:id="rId5"/>
    <sheet state="visible" name="Metas bitacora" sheetId="3" r:id="rId6"/>
    <sheet state="visible" name="Alimentos" sheetId="4" r:id="rId7"/>
    <sheet state="visible" name="Ejercicios bitacora" sheetId="5" r:id="rId8"/>
    <sheet state="visible" name="Plan de entrenamiento" sheetId="6" r:id="rId9"/>
  </sheets>
  <definedNames>
    <definedName hidden="1" localSheetId="3" name="_xlnm._FilterDatabase">Alimentos!$A$1:$H$69</definedName>
  </definedNames>
  <calcPr/>
</workbook>
</file>

<file path=xl/sharedStrings.xml><?xml version="1.0" encoding="utf-8"?>
<sst xmlns="http://schemas.openxmlformats.org/spreadsheetml/2006/main" count="508" uniqueCount="287">
  <si>
    <t>CATEGORÍA</t>
  </si>
  <si>
    <t>DATO</t>
  </si>
  <si>
    <t>Edad</t>
  </si>
  <si>
    <t>48 años</t>
  </si>
  <si>
    <t>Altura</t>
  </si>
  <si>
    <t>176 cm</t>
  </si>
  <si>
    <t>Peso Inicial</t>
  </si>
  <si>
    <t>212 lb (96.2 kg)</t>
  </si>
  <si>
    <t>Condición Médica</t>
  </si>
  <si>
    <t>Prediabetes (HbA1c 6.4)</t>
  </si>
  <si>
    <t>Medicación</t>
  </si>
  <si>
    <t>Metformina 500mg al día</t>
  </si>
  <si>
    <t>Objetivo Principal</t>
  </si>
  <si>
    <t>Pérdida de Grasa + Mantenimiento Muscular</t>
  </si>
  <si>
    <t>OBJETIVO</t>
  </si>
  <si>
    <t>UNIDAD</t>
  </si>
  <si>
    <t>CANTIDAD</t>
  </si>
  <si>
    <t>NOTA CLAVE</t>
  </si>
  <si>
    <t>Calorías (Tasa de Déficit)</t>
  </si>
  <si>
    <t>kcal</t>
  </si>
  <si>
    <t>Meta para pérdida de grasa.</t>
  </si>
  <si>
    <t>Proteínas</t>
  </si>
  <si>
    <t>gramos</t>
  </si>
  <si>
    <t>Clave para preservar músculo.</t>
  </si>
  <si>
    <t>Carbohidratos Netos</t>
  </si>
  <si>
    <t>Máximo para control de prediabetes (HbA1c).</t>
  </si>
  <si>
    <t>Grasas</t>
  </si>
  <si>
    <t>Controladas para déficit calórico.</t>
  </si>
  <si>
    <t>FECHA</t>
  </si>
  <si>
    <t>Meta Proteínas (g)</t>
  </si>
  <si>
    <t>Meta CHO Netos (g)</t>
  </si>
  <si>
    <t>Meta Grasas (g)</t>
  </si>
  <si>
    <t>Proteínas (g)</t>
  </si>
  <si>
    <t>CHO Netos (g)</t>
  </si>
  <si>
    <t>Grasas (g)</t>
  </si>
  <si>
    <t>P - Meta P</t>
  </si>
  <si>
    <t>Meta CHO - CHO</t>
  </si>
  <si>
    <t>Meta G - G</t>
  </si>
  <si>
    <t>DIA</t>
  </si>
  <si>
    <t>HORA (Est.)</t>
  </si>
  <si>
    <t>COMIDA</t>
  </si>
  <si>
    <t>ALIMENTO/INGREDIENTE</t>
  </si>
  <si>
    <t>CANTIDAD (Est.)</t>
  </si>
  <si>
    <t>PROTEÍNAS (g)</t>
  </si>
  <si>
    <t>CHO NETOS (g)</t>
  </si>
  <si>
    <t>GRASAS (g)</t>
  </si>
  <si>
    <t>8:00 AM</t>
  </si>
  <si>
    <t>Desayuno</t>
  </si>
  <si>
    <t>Huevo Entero</t>
  </si>
  <si>
    <t>2 unidades</t>
  </si>
  <si>
    <t>Clara de Huevo</t>
  </si>
  <si>
    <t>Tomate Mediano</t>
  </si>
  <si>
    <t>1 unidad</t>
  </si>
  <si>
    <t>Avena Seca</t>
  </si>
  <si>
    <t>1/4 taza</t>
  </si>
  <si>
    <t>Linaza Molida</t>
  </si>
  <si>
    <t>1 Cda.</t>
  </si>
  <si>
    <t>Yogur Griego (90g)</t>
  </si>
  <si>
    <t>90 g</t>
  </si>
  <si>
    <t>Café (solo)</t>
  </si>
  <si>
    <t>1 taza</t>
  </si>
  <si>
    <t>11:30 AM</t>
  </si>
  <si>
    <t>Colación Mañana</t>
  </si>
  <si>
    <t>Wrap (Harina Estándar)</t>
  </si>
  <si>
    <t>Lomo de Atún (Agua)</t>
  </si>
  <si>
    <t>$\approx 100\ g$</t>
  </si>
  <si>
    <t>Yogur Griego</t>
  </si>
  <si>
    <t>Tomate + Cebolla</t>
  </si>
  <si>
    <t>Pequeña porción</t>
  </si>
  <si>
    <t>2:00 PM</t>
  </si>
  <si>
    <t>Almuerzo</t>
  </si>
  <si>
    <t>Pechuga de Pollo Hervida</t>
  </si>
  <si>
    <t>$\approx 150\ g$</t>
  </si>
  <si>
    <t>Brócoli/Coliflor/Zanahoria</t>
  </si>
  <si>
    <t>Arroz Hervido (Blanco)</t>
  </si>
  <si>
    <t>1/3 taza cocida</t>
  </si>
  <si>
    <t>7:00 PM</t>
  </si>
  <si>
    <t>Cena</t>
  </si>
  <si>
    <t>Salmón a la Plancha</t>
  </si>
  <si>
    <t>$\approx 120\ g$</t>
  </si>
  <si>
    <t>Coditos Cocidos</t>
  </si>
  <si>
    <t>1/2 taza</t>
  </si>
  <si>
    <t>Queso Feta</t>
  </si>
  <si>
    <t>1/4 taza ($\approx 30\ g$)</t>
  </si>
  <si>
    <t>Tomates Cherry</t>
  </si>
  <si>
    <t>Tomate Redondo</t>
  </si>
  <si>
    <t>Espinaca</t>
  </si>
  <si>
    <t>4 hojas</t>
  </si>
  <si>
    <t>Aceite de Oliva</t>
  </si>
  <si>
    <t>1 Cda. de té</t>
  </si>
  <si>
    <t>Queso Gouda Ahumado</t>
  </si>
  <si>
    <t>1 rebanada</t>
  </si>
  <si>
    <t>10:00 AM</t>
  </si>
  <si>
    <t>Yogur Griego (Natural)</t>
  </si>
  <si>
    <t>150 g</t>
  </si>
  <si>
    <t>Almendras</t>
  </si>
  <si>
    <t>28 g</t>
  </si>
  <si>
    <t>1:30 PM</t>
  </si>
  <si>
    <t>Pechuga de Pollo al Horno</t>
  </si>
  <si>
    <t>Arroz Integral Hervido</t>
  </si>
  <si>
    <t>Vegetales (Brócoli, Zanahoria, Coliflor)</t>
  </si>
  <si>
    <t>4:00 PM</t>
  </si>
  <si>
    <t>Colación Tarde</t>
  </si>
  <si>
    <t>Mantequilla de Maní</t>
  </si>
  <si>
    <t>7:30 PM</t>
  </si>
  <si>
    <t>Carne Sudada</t>
  </si>
  <si>
    <t>$\approx 112\ g$</t>
  </si>
  <si>
    <t>Brócoli Hervido</t>
  </si>
  <si>
    <t>200 g</t>
  </si>
  <si>
    <t>Queso Parmesano Rallado</t>
  </si>
  <si>
    <t>2 Cdas.</t>
  </si>
  <si>
    <t>Yogur Griego (13g Prot.)</t>
  </si>
  <si>
    <t>Tomate</t>
  </si>
  <si>
    <t>Queso Gouda</t>
  </si>
  <si>
    <t>1.5 rebanadas</t>
  </si>
  <si>
    <t>11:00 AM</t>
  </si>
  <si>
    <t>Manzana Verde</t>
  </si>
  <si>
    <t>1/2 unidad</t>
  </si>
  <si>
    <t>Mantequilla de Maní Tosh</t>
  </si>
  <si>
    <t>1 Cda. Sopera</t>
  </si>
  <si>
    <t>Pechuga de Pollo Sudada</t>
  </si>
  <si>
    <t>1.5 tazas</t>
  </si>
  <si>
    <t>4:30 PM</t>
  </si>
  <si>
    <t>Maní Tostado con sal</t>
  </si>
  <si>
    <t>Pechuga de Pollo a la Plancha</t>
  </si>
  <si>
    <t>Espárrago Cocido</t>
  </si>
  <si>
    <t>8:30 PM</t>
  </si>
  <si>
    <t>Post-Cena</t>
  </si>
  <si>
    <t>Queso Ricotta</t>
  </si>
  <si>
    <t>Galletas Club Social Integral</t>
  </si>
  <si>
    <t>3 unidades</t>
  </si>
  <si>
    <t>Brócoli al Vapor</t>
  </si>
  <si>
    <t>Aguacate</t>
  </si>
  <si>
    <t>1/4 unidad</t>
  </si>
  <si>
    <t>45 g</t>
  </si>
  <si>
    <t>Café</t>
  </si>
  <si>
    <t>Maní Tostado</t>
  </si>
  <si>
    <t>28 g (1 puñado)</t>
  </si>
  <si>
    <t>Pollo Asado</t>
  </si>
  <si>
    <t>300 g</t>
  </si>
  <si>
    <t>1/2 chico</t>
  </si>
  <si>
    <t>Chocolate 0% Azúcar</t>
  </si>
  <si>
    <t>7 g</t>
  </si>
  <si>
    <t>1 Cda. ($\approx 15\ g$)</t>
  </si>
  <si>
    <t>$\approx 200\ g$ (Est.)</t>
  </si>
  <si>
    <t>TOTALES</t>
  </si>
  <si>
    <t>HORA INICIO</t>
  </si>
  <si>
    <t>TIPO DE EJERCICIO</t>
  </si>
  <si>
    <t>DURACIÓN (min)</t>
  </si>
  <si>
    <t>INTENSIDAD</t>
  </si>
  <si>
    <t>NOTAS/PESO</t>
  </si>
  <si>
    <t>Entrenamiento de Fuerza / HIIT</t>
  </si>
  <si>
    <t>Media</t>
  </si>
  <si>
    <t>Jalón al Pecho con Agarre Ancho 42 Kg /  Salto Soga 1 min / Jalón al pecho agarre supino 42 Kg / Salto Soga 1 min / Remo Sentado en Polea Baja 42 Kg / Squat 1 min / Pres Banca Inclinada con Polea 32.5 / Squat 1 min (4 repeticiones/ 4 ciclos)</t>
  </si>
  <si>
    <t>Cardio</t>
  </si>
  <si>
    <t>Baja</t>
  </si>
  <si>
    <t>Caminadora 3.0 MPH 10°</t>
  </si>
  <si>
    <t>Carrera/Caminata 5.7 km</t>
  </si>
  <si>
    <t>Carrera/Caminata 5.4 km</t>
  </si>
  <si>
    <t>DÍA 1 (Lunes)</t>
  </si>
  <si>
    <t>Ejercicio (Énfasis: Empuje Pesado)</t>
  </si>
  <si>
    <t>Series x Repeticiones</t>
  </si>
  <si>
    <t>Notas Clave</t>
  </si>
  <si>
    <t>Pierna (Cuádriceps)</t>
  </si>
  <si>
    <t>Sentadilla Goblet con Mancuerna</t>
  </si>
  <si>
    <t>3 x 8-10</t>
  </si>
  <si>
    <t>Sostén la mancuerna verticalmente en tu pecho.</t>
  </si>
  <si>
    <t>16 - 20 Kg</t>
  </si>
  <si>
    <t>Sostén firmemente la mancuerna contra tu pecho; concéntrate en la postura erguida.</t>
  </si>
  <si>
    <t>Pecho</t>
  </si>
  <si>
    <t>Press Banca Plano con Barra</t>
  </si>
  <si>
    <t>Controla la bajada y evita rebotar el peso.</t>
  </si>
  <si>
    <t>30 - 40 Kg</t>
  </si>
  <si>
    <t>(Incluyendo la barra). Realiza un par de series de calentamiento con la barra sola.</t>
  </si>
  <si>
    <t>Espalda (Horizontal)</t>
  </si>
  <si>
    <t>Remo con Barra Inclinado</t>
  </si>
  <si>
    <t>Usa un peso que te permita mantener la espalda recta y abdomen firme.</t>
  </si>
  <si>
    <t>25 - 35 Kg</t>
  </si>
  <si>
    <t>(Incluyendo la barra). Mantén la espalda bloqueada y firme, con el abdomen activado.</t>
  </si>
  <si>
    <t>Hombro</t>
  </si>
  <si>
    <t>Press Militar Sentado con Mancuernas</t>
  </si>
  <si>
    <t>3 x 10-12</t>
  </si>
  <si>
    <t>Máxima estabilidad sentado.</t>
  </si>
  <si>
    <t>10 - 14 Kg (cada mano)</t>
  </si>
  <si>
    <t>Presiona hacia arriba en línea recta, evitando arquear demasiado la espalda baja.</t>
  </si>
  <si>
    <t>Bíceps</t>
  </si>
  <si>
    <t>Curl de Bíceps con Barra</t>
  </si>
  <si>
    <t>2 x 10-12</t>
  </si>
  <si>
    <t>Concéntrate en la contracción.</t>
  </si>
  <si>
    <t>15 - 20 Kg</t>
  </si>
  <si>
    <t>Incluyendo la barra, si es una barra EZ. Evita balancear el torso.</t>
  </si>
  <si>
    <t>Tríceps</t>
  </si>
  <si>
    <t>Fondos en Banca (Dips)</t>
  </si>
  <si>
    <t>2 x Fallo Técnico</t>
  </si>
  <si>
    <t>Si sientes presión en los hombros, haz Extensiones de Tríceps con Mancuerna sobre la cabeza.</t>
  </si>
  <si>
    <t>Core &amp; Cardio</t>
  </si>
  <si>
    <t>Plancha (Anti-Extensión) + Cardio Ligero</t>
  </si>
  <si>
    <t>3 x 45-60 seg + 10 min</t>
  </si>
  <si>
    <t>Respira de forma regular, no contengas.</t>
  </si>
  <si>
    <t>DÍA Descanso (Martes)</t>
  </si>
  <si>
    <t>Ejercicio</t>
  </si>
  <si>
    <t>Trotar</t>
  </si>
  <si>
    <t>40-60 min</t>
  </si>
  <si>
    <t>Esto ayuda a tu resistencia y quemas calorías sin interferir negativamente con la recuperación muscular de la rutina Full Body.</t>
  </si>
  <si>
    <t>DÍA 2 (Miércoles)</t>
  </si>
  <si>
    <t>Ejercicio (Énfasis: Cadena Posterior y Tracción)</t>
  </si>
  <si>
    <t>Pierna (Posterior)</t>
  </si>
  <si>
    <t>Hip Thrust con Barra</t>
  </si>
  <si>
    <t>3 x 10-15</t>
  </si>
  <si>
    <t>Empuja la cadera hacia arriba, aprieta los glúteos.</t>
  </si>
  <si>
    <t>40 - 50 Kg</t>
  </si>
  <si>
    <t>(Incluyendo la barra). Asegúrate de apoyar bien la espalda en la banca y empuja solo con los talones.</t>
  </si>
  <si>
    <t>Espalda (Unilateral)</t>
  </si>
  <si>
    <t>Remo con Mancuerna a un Brazo</t>
  </si>
  <si>
    <t>3 x 10-12 (cada brazo)</t>
  </si>
  <si>
    <t>Tira con el codo, no con el hombro.</t>
  </si>
  <si>
    <t>14 - 18 Kg (cada mano)</t>
  </si>
  <si>
    <t>Tira con el codo hacia la cadera, no hacia el hombro.</t>
  </si>
  <si>
    <t>Press Inclinado con Mancuernas</t>
  </si>
  <si>
    <t>Excelente para el pecho superior.</t>
  </si>
  <si>
    <t>12 - 16 Kg (cada mano)</t>
  </si>
  <si>
    <t>El press inclinado suele ser más difícil que el plano.</t>
  </si>
  <si>
    <t>Hombro (Lateral)</t>
  </si>
  <si>
    <t>Elevaciones Laterales con Mancuernas</t>
  </si>
  <si>
    <t>3 x 12-15</t>
  </si>
  <si>
    <t>Movimiento lento y controlado.</t>
  </si>
  <si>
    <t>4 - 6 Kg (cada mano)</t>
  </si>
  <si>
    <t>Movimiento de aislamiento. Lento y controlado, no uses el impulso.</t>
  </si>
  <si>
    <t>Press Francés con Mancuerna</t>
  </si>
  <si>
    <t>Mantén los codos apuntando al techo.</t>
  </si>
  <si>
    <t>10 - 12 Kg</t>
  </si>
  <si>
    <t>Baja lentamente la mancuerna detrás de tu cabeza.</t>
  </si>
  <si>
    <t>Curl Martillo con Mancuernas</t>
  </si>
  <si>
    <t>Posición neutral de la mano.</t>
  </si>
  <si>
    <t>8 - 10 Kg (cada mano)</t>
  </si>
  <si>
    <t>Bird Dog (Perro Pájaro) + Cardio Ligero</t>
  </si>
  <si>
    <t>3 x 10-12 (por lado) + 10 min</t>
  </si>
  <si>
    <t>Controla la cadera, evita que gire.</t>
  </si>
  <si>
    <t>DÍA Descanso (Jueves)</t>
  </si>
  <si>
    <t>DÍA 3 (Viernes)</t>
  </si>
  <si>
    <t>Ejercicio (Énfasis: Estabilidad y Densidad)</t>
  </si>
  <si>
    <t>Pierna (Estabilidad)</t>
  </si>
  <si>
    <t>Zancadas Andando con Mancuernas</t>
  </si>
  <si>
    <t>3 x 10-12 (por pierna)</t>
  </si>
  <si>
    <t>Da un paso largo para cargar más el glúteo.</t>
  </si>
  <si>
    <t>Prioriza el equilibrio y la profundidad. Si es muy inestable, empieza sin peso.</t>
  </si>
  <si>
    <t>Espalda (Vertical)</t>
  </si>
  <si>
    <t>Remo Inclinado con Mancuernas</t>
  </si>
  <si>
    <t>Si usas polea, mantén el torso estable.</t>
  </si>
  <si>
    <t>Aperturas en Banca Plana con Mancuernas</t>
  </si>
  <si>
    <t>Manten un ligero doblez en el codo.</t>
  </si>
  <si>
    <t>Hombro (Posterior)</t>
  </si>
  <si>
    <t>Pájaros con Mancuernas (Rear Delt Flies)</t>
  </si>
  <si>
    <t>3 x 15-20</t>
  </si>
  <si>
    <t>Apoya la cabeza en la banca inclinada para estabilidad si lo necesitas.</t>
  </si>
  <si>
    <t>Extensión de Tríceps por Encima de la Cabeza</t>
  </si>
  <si>
    <t>2 x 12-15</t>
  </si>
  <si>
    <t>Usa una mancuerna con las dos manos.</t>
  </si>
  <si>
    <t>Curl Concentrado con Mancuerna</t>
  </si>
  <si>
    <t>2 x 10-12 (cada brazo)</t>
  </si>
  <si>
    <t>Apoya el codo en el muslo para aislar.</t>
  </si>
  <si>
    <t>Paseo del Granjero (Farmer's Walk) + Cardio Ligero</t>
  </si>
  <si>
    <t>3 x 30 metros + 10 min</t>
  </si>
  <si>
    <t>Camina recto con la espalda rígida, sosteniendo las mancuernas más pesadas que puedas.</t>
  </si>
  <si>
    <t>DÍA Descanso (Sabado/Domingo)</t>
  </si>
  <si>
    <t>Consejos Finales</t>
  </si>
  <si>
    <t xml:space="preserve">Calentamiento: </t>
  </si>
  <si>
    <t>Siempre comienza con 5-10 minutos de movilidad articular (rotaciones de hombros, caderas, tobillos) y haz 1-2 series de aproximación con peso muy ligero en tu primer ejercicio de cada día (por ejemplo, Sentadillas el lunes).</t>
  </si>
  <si>
    <t xml:space="preserve">Progresión: </t>
  </si>
  <si>
    <t>En los ejercicios principales (Sentadilla, Press Banca, Remos), tu objetivo es superar tu rendimiento anterior: levanta un poco más de peso, haz una repetición extra, o descansa 15 segundos menos.</t>
  </si>
  <si>
    <t xml:space="preserve">Descanso: </t>
  </si>
  <si>
    <t>Tu rutina Full Body es intensa. Los días de descanso entre sesiones de pesas (Martes y Jueves) son obligatorios para que tus músculos se recuperen y crezcan.</t>
  </si>
  <si>
    <t>Fase del Entrenamiento</t>
  </si>
  <si>
    <t>Duración Estimada</t>
  </si>
  <si>
    <t>Notas de la Sesión</t>
  </si>
  <si>
    <t>1. Calentamiento y Movilidad</t>
  </si>
  <si>
    <t>8 - 10 minutos</t>
  </si>
  <si>
    <t>Cardio muy ligero (ej. caminata) y series de aproximación con peso muy bajo para tu primer ejercicio (ej. Sentadilla Goblet).</t>
  </si>
  <si>
    <t>2. Bloque Principal de Fuerza</t>
  </si>
  <si>
    <t>45 - 55 minutos</t>
  </si>
  <si>
    <t>Incluye los 7 ejercicios principales (Pierna, Empuje, Tracción, Accesorios y Core). Este es el núcleo de tu entrenamiento.</t>
  </si>
  <si>
    <t>3. Cardio Ligero (Enfriamiento)</t>
  </si>
  <si>
    <t>10 minutos</t>
  </si>
  <si>
    <t>Tu costumbre de usar la cinta caminadora para enfriar y cerrar la sesión.</t>
  </si>
  <si>
    <t>TOTAL ESTIMADO</t>
  </si>
  <si>
    <t>63 - 75 minutos</t>
  </si>
  <si>
    <t>(1 hora y 3 a 15 minutos)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</si>
</sst>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rgb="FF1B1C1D"/>
      <name val="&quot;Google Sans Text&quot;"/>
    </font>
    <font>
      <color theme="1"/>
      <name val="Arial"/>
      <scheme val="minor"/>
    </font>
    <font>
      <b/>
      <color rgb="FF1B1C1D"/>
      <name val="&quot;Google Sans Text&quot;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Gener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s bitac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jercicios bitaco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5" displayName="Generales" name="Generales" id="1">
  <tableColumns count="2">
    <tableColumn name="CATEGORÍA" id="1"/>
    <tableColumn name="DATO" id="2"/>
  </tableColumns>
  <tableStyleInfo name="Generales-style" showColumnStripes="0" showFirstColumn="1" showLastColumn="1" showRowStripes="1"/>
</table>
</file>

<file path=xl/tables/table2.xml><?xml version="1.0" encoding="utf-8"?>
<table xmlns="http://schemas.openxmlformats.org/spreadsheetml/2006/main" ref="A1:D15" displayName="Metas" name="Metas" id="2">
  <tableColumns count="4">
    <tableColumn name="OBJETIVO" id="1"/>
    <tableColumn name="UNIDAD" id="2"/>
    <tableColumn name="CANTIDAD" id="3"/>
    <tableColumn name="NOTA CLAVE" id="4"/>
  </tableColumns>
  <tableStyleInfo name="Metas-style" showColumnStripes="0" showFirstColumn="1" showLastColumn="1" showRowStripes="1"/>
</table>
</file>

<file path=xl/tables/table3.xml><?xml version="1.0" encoding="utf-8"?>
<table xmlns="http://schemas.openxmlformats.org/spreadsheetml/2006/main" ref="A1:J15" displayName="Tabla_1" name="Tabla_1" id="3">
  <tableColumns count="10">
    <tableColumn name="FECHA" id="1"/>
    <tableColumn name="Meta Proteínas (g)" id="2"/>
    <tableColumn name="Meta CHO Netos (g)" id="3"/>
    <tableColumn name="Meta Grasas (g)" id="4"/>
    <tableColumn name="Proteínas (g)" id="5"/>
    <tableColumn name="CHO Netos (g)" id="6"/>
    <tableColumn name="Grasas (g)" id="7"/>
    <tableColumn name="P - Meta P" id="8"/>
    <tableColumn name="Meta CHO - CHO" id="9"/>
    <tableColumn name="Meta G - G" id="10"/>
  </tableColumns>
  <tableStyleInfo name="Metas bitacora-style" showColumnStripes="0" showFirstColumn="1" showLastColumn="1" showRowStripes="1"/>
</table>
</file>

<file path=xl/tables/table4.xml><?xml version="1.0" encoding="utf-8"?>
<table xmlns="http://schemas.openxmlformats.org/spreadsheetml/2006/main" ref="A1:H69" displayName="Alimentos" name="Alimentos" id="4">
  <autoFilter ref="$A$1:$H$69"/>
  <tableColumns count="8">
    <tableColumn name="DIA" id="1"/>
    <tableColumn name="HORA (Est.)" id="2"/>
    <tableColumn name="COMIDA" id="3"/>
    <tableColumn name="ALIMENTO/INGREDIENTE" id="4"/>
    <tableColumn name="CANTIDAD (Est.)" id="5"/>
    <tableColumn name="PROTEÍNAS (g)" id="6"/>
    <tableColumn name="CHO NETOS (g)" id="7"/>
    <tableColumn name="GRASAS (g)" id="8"/>
  </tableColumns>
  <tableStyleInfo name="Alimentos-style" showColumnStripes="0" showFirstColumn="1" showLastColumn="1" showRowStripes="1"/>
</table>
</file>

<file path=xl/tables/table5.xml><?xml version="1.0" encoding="utf-8"?>
<table xmlns="http://schemas.openxmlformats.org/spreadsheetml/2006/main" ref="A1:F15" displayName="Ejercicios_bitacora" name="Ejercicios_bitacora" id="5">
  <tableColumns count="6">
    <tableColumn name="FECHA" id="1"/>
    <tableColumn name="HORA INICIO" id="2"/>
    <tableColumn name="TIPO DE EJERCICIO" id="3"/>
    <tableColumn name="DURACIÓN (min)" id="4"/>
    <tableColumn name="INTENSIDAD" id="5"/>
    <tableColumn name="NOTAS/PESO" id="6"/>
  </tableColumns>
  <tableStyleInfo name="Ejercicios bitaco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7.38"/>
    <col customWidth="1" min="3" max="6" width="22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7" ht="22.5" customHeight="1">
      <c r="A7" s="2" t="s">
        <v>12</v>
      </c>
      <c r="B7" s="2" t="s">
        <v>13</v>
      </c>
    </row>
    <row r="8" ht="22.5" customHeight="1">
      <c r="A8" s="3"/>
      <c r="B8" s="3"/>
    </row>
    <row r="9" ht="22.5" customHeight="1">
      <c r="A9" s="3"/>
      <c r="B9" s="3"/>
    </row>
    <row r="10" ht="22.5" customHeight="1">
      <c r="A10" s="3"/>
      <c r="B10" s="3"/>
    </row>
    <row r="11" ht="22.5" customHeight="1">
      <c r="A11" s="3"/>
      <c r="B11" s="3"/>
    </row>
    <row r="12" ht="22.5" customHeight="1">
      <c r="A12" s="3"/>
      <c r="B12" s="3"/>
    </row>
    <row r="13" ht="22.5" customHeight="1">
      <c r="A13" s="3"/>
      <c r="B13" s="3"/>
    </row>
    <row r="14" ht="22.5" customHeight="1">
      <c r="A14" s="3"/>
      <c r="B14" s="3"/>
    </row>
    <row r="15" ht="22.5" customHeight="1">
      <c r="A15" s="3"/>
      <c r="B15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2.13"/>
    <col customWidth="1" min="3" max="3" width="13.25"/>
    <col customWidth="1" min="4" max="4" width="41.38"/>
    <col customWidth="1" min="5" max="6" width="22.63"/>
  </cols>
  <sheetData>
    <row r="1" ht="22.5" customHeight="1">
      <c r="A1" s="1" t="s">
        <v>14</v>
      </c>
      <c r="B1" s="1" t="s">
        <v>15</v>
      </c>
      <c r="C1" s="1" t="s">
        <v>16</v>
      </c>
      <c r="D1" s="1" t="s">
        <v>17</v>
      </c>
    </row>
    <row r="2" ht="22.5" customHeight="1">
      <c r="A2" s="2" t="s">
        <v>18</v>
      </c>
      <c r="B2" s="2" t="s">
        <v>19</v>
      </c>
      <c r="C2" s="2">
        <v>2000.0</v>
      </c>
      <c r="D2" s="2" t="s">
        <v>20</v>
      </c>
    </row>
    <row r="3" ht="22.5" customHeight="1">
      <c r="A3" s="2" t="s">
        <v>21</v>
      </c>
      <c r="B3" s="2" t="s">
        <v>22</v>
      </c>
      <c r="C3" s="2">
        <v>192.0</v>
      </c>
      <c r="D3" s="2" t="s">
        <v>23</v>
      </c>
    </row>
    <row r="4" ht="22.5" customHeight="1">
      <c r="A4" s="2" t="s">
        <v>24</v>
      </c>
      <c r="B4" s="2" t="s">
        <v>22</v>
      </c>
      <c r="C4" s="2">
        <v>135.0</v>
      </c>
      <c r="D4" s="2" t="s">
        <v>25</v>
      </c>
    </row>
    <row r="5" ht="22.5" customHeight="1">
      <c r="A5" s="2" t="s">
        <v>26</v>
      </c>
      <c r="B5" s="2" t="s">
        <v>22</v>
      </c>
      <c r="C5" s="2">
        <v>77.0</v>
      </c>
      <c r="D5" s="2" t="s">
        <v>27</v>
      </c>
    </row>
    <row r="6" ht="22.5" customHeight="1">
      <c r="A6" s="3"/>
      <c r="B6" s="3"/>
      <c r="C6" s="3"/>
      <c r="D6" s="3"/>
    </row>
    <row r="7" ht="22.5" customHeight="1">
      <c r="A7" s="3"/>
      <c r="B7" s="3"/>
      <c r="C7" s="3"/>
      <c r="D7" s="3"/>
    </row>
    <row r="8" ht="22.5" customHeight="1">
      <c r="A8" s="3"/>
      <c r="B8" s="3"/>
      <c r="C8" s="3"/>
      <c r="D8" s="3"/>
    </row>
    <row r="9" ht="22.5" customHeight="1">
      <c r="A9" s="3"/>
      <c r="B9" s="3"/>
      <c r="C9" s="3"/>
      <c r="D9" s="3"/>
    </row>
    <row r="10" ht="22.5" customHeight="1">
      <c r="A10" s="3"/>
      <c r="B10" s="3"/>
      <c r="C10" s="3"/>
      <c r="D10" s="3"/>
    </row>
    <row r="11" ht="22.5" customHeight="1">
      <c r="A11" s="3"/>
      <c r="B11" s="3"/>
      <c r="C11" s="3"/>
      <c r="D11" s="3"/>
    </row>
    <row r="12" ht="22.5" customHeight="1">
      <c r="A12" s="3"/>
      <c r="B12" s="3"/>
      <c r="C12" s="3"/>
      <c r="D12" s="3"/>
    </row>
    <row r="13" ht="22.5" customHeight="1">
      <c r="A13" s="3"/>
      <c r="B13" s="3"/>
      <c r="C13" s="3"/>
      <c r="D13" s="3"/>
    </row>
    <row r="14" ht="22.5" customHeight="1">
      <c r="A14" s="3"/>
      <c r="B14" s="3"/>
      <c r="C14" s="3"/>
      <c r="D14" s="3"/>
    </row>
    <row r="15" ht="22.5" customHeight="1">
      <c r="A15" s="3"/>
      <c r="B15" s="3"/>
      <c r="C15" s="3"/>
      <c r="D15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4" t="s">
        <v>35</v>
      </c>
      <c r="I1" s="4" t="s">
        <v>36</v>
      </c>
      <c r="J1" s="4" t="s">
        <v>37</v>
      </c>
    </row>
    <row r="2" ht="22.5" customHeight="1">
      <c r="A2" s="5">
        <v>45966.0</v>
      </c>
      <c r="B2" s="2">
        <v>192.0</v>
      </c>
      <c r="C2" s="2">
        <v>135.0</v>
      </c>
      <c r="D2" s="2">
        <v>77.0</v>
      </c>
      <c r="E2" s="2">
        <v>165.2</v>
      </c>
      <c r="F2" s="2">
        <v>129.3</v>
      </c>
      <c r="G2" s="2">
        <v>61.6</v>
      </c>
      <c r="H2" s="6">
        <f t="shared" ref="H2:H15" si="2">E2-B2</f>
        <v>-26.8</v>
      </c>
      <c r="I2" s="6">
        <f t="shared" ref="I2:J2" si="1">C2-F2</f>
        <v>5.7</v>
      </c>
      <c r="J2" s="6">
        <f t="shared" si="1"/>
        <v>15.4</v>
      </c>
    </row>
    <row r="3" ht="22.5" customHeight="1">
      <c r="A3" s="7">
        <v>45967.0</v>
      </c>
      <c r="B3" s="2">
        <v>192.0</v>
      </c>
      <c r="C3" s="2">
        <v>135.0</v>
      </c>
      <c r="D3" s="2">
        <v>77.0</v>
      </c>
      <c r="E3" s="2">
        <v>155.8</v>
      </c>
      <c r="F3" s="2">
        <v>66.1</v>
      </c>
      <c r="G3" s="2">
        <v>71.7</v>
      </c>
      <c r="H3" s="6">
        <f t="shared" si="2"/>
        <v>-36.2</v>
      </c>
      <c r="I3" s="6">
        <f t="shared" ref="I3:J3" si="3">C3-F3</f>
        <v>68.9</v>
      </c>
      <c r="J3" s="6">
        <f t="shared" si="3"/>
        <v>5.3</v>
      </c>
    </row>
    <row r="4" ht="22.5" customHeight="1">
      <c r="A4" s="5">
        <v>45968.0</v>
      </c>
      <c r="B4" s="2">
        <v>192.0</v>
      </c>
      <c r="C4" s="2">
        <v>135.0</v>
      </c>
      <c r="D4" s="2">
        <v>77.0</v>
      </c>
      <c r="E4" s="2">
        <v>170.0</v>
      </c>
      <c r="F4" s="2">
        <v>100.4</v>
      </c>
      <c r="G4" s="2">
        <v>68.4</v>
      </c>
      <c r="H4" s="6">
        <f t="shared" si="2"/>
        <v>-22</v>
      </c>
      <c r="I4" s="6">
        <f t="shared" ref="I4:J4" si="4">C4-F4</f>
        <v>34.6</v>
      </c>
      <c r="J4" s="6">
        <f t="shared" si="4"/>
        <v>8.6</v>
      </c>
    </row>
    <row r="5" ht="22.5" customHeight="1">
      <c r="A5" s="5">
        <v>45969.0</v>
      </c>
      <c r="B5" s="2">
        <v>192.0</v>
      </c>
      <c r="C5" s="2">
        <v>135.0</v>
      </c>
      <c r="D5" s="2">
        <v>77.0</v>
      </c>
      <c r="E5" s="2">
        <v>203.0</v>
      </c>
      <c r="F5" s="2">
        <v>43.0</v>
      </c>
      <c r="G5" s="2">
        <v>76.8</v>
      </c>
      <c r="H5" s="6">
        <f t="shared" si="2"/>
        <v>11</v>
      </c>
      <c r="I5" s="6">
        <f t="shared" ref="I5:J5" si="5">C5-F5</f>
        <v>92</v>
      </c>
      <c r="J5" s="6">
        <f t="shared" si="5"/>
        <v>0.2</v>
      </c>
    </row>
    <row r="6" ht="22.5" customHeight="1">
      <c r="A6" s="5">
        <v>45970.0</v>
      </c>
      <c r="B6" s="2">
        <v>192.0</v>
      </c>
      <c r="C6" s="2">
        <v>135.0</v>
      </c>
      <c r="D6" s="2">
        <v>77.0</v>
      </c>
      <c r="E6" s="2"/>
      <c r="F6" s="2"/>
      <c r="G6" s="2"/>
      <c r="H6" s="6">
        <f t="shared" si="2"/>
        <v>-192</v>
      </c>
      <c r="I6" s="6">
        <f t="shared" ref="I6:J6" si="6">C6-F6</f>
        <v>135</v>
      </c>
      <c r="J6" s="6">
        <f t="shared" si="6"/>
        <v>77</v>
      </c>
    </row>
    <row r="7" ht="22.5" customHeight="1">
      <c r="A7" s="5">
        <v>45971.0</v>
      </c>
      <c r="B7" s="2">
        <v>192.0</v>
      </c>
      <c r="C7" s="2">
        <v>135.0</v>
      </c>
      <c r="D7" s="2">
        <v>77.0</v>
      </c>
      <c r="E7" s="2"/>
      <c r="F7" s="2"/>
      <c r="G7" s="2"/>
      <c r="H7" s="6">
        <f t="shared" si="2"/>
        <v>-192</v>
      </c>
      <c r="I7" s="6">
        <f t="shared" ref="I7:J7" si="7">C7-F7</f>
        <v>135</v>
      </c>
      <c r="J7" s="6">
        <f t="shared" si="7"/>
        <v>77</v>
      </c>
    </row>
    <row r="8" ht="22.5" customHeight="1">
      <c r="A8" s="5">
        <v>45972.0</v>
      </c>
      <c r="B8" s="2">
        <v>192.0</v>
      </c>
      <c r="C8" s="2">
        <v>135.0</v>
      </c>
      <c r="D8" s="2">
        <v>77.0</v>
      </c>
      <c r="E8" s="2"/>
      <c r="F8" s="2"/>
      <c r="G8" s="2"/>
      <c r="H8" s="6">
        <f t="shared" si="2"/>
        <v>-192</v>
      </c>
      <c r="I8" s="6">
        <f t="shared" ref="I8:J8" si="8">C8-F8</f>
        <v>135</v>
      </c>
      <c r="J8" s="6">
        <f t="shared" si="8"/>
        <v>77</v>
      </c>
    </row>
    <row r="9" ht="22.5" customHeight="1">
      <c r="A9" s="5">
        <v>45973.0</v>
      </c>
      <c r="B9" s="2">
        <v>192.0</v>
      </c>
      <c r="C9" s="2">
        <v>135.0</v>
      </c>
      <c r="D9" s="2">
        <v>77.0</v>
      </c>
      <c r="E9" s="2"/>
      <c r="F9" s="2"/>
      <c r="G9" s="2"/>
      <c r="H9" s="6">
        <f t="shared" si="2"/>
        <v>-192</v>
      </c>
      <c r="I9" s="6">
        <f t="shared" ref="I9:J9" si="9">C9-F9</f>
        <v>135</v>
      </c>
      <c r="J9" s="6">
        <f t="shared" si="9"/>
        <v>77</v>
      </c>
    </row>
    <row r="10" ht="22.5" customHeight="1">
      <c r="A10" s="5">
        <v>45974.0</v>
      </c>
      <c r="B10" s="2">
        <v>192.0</v>
      </c>
      <c r="C10" s="2">
        <v>135.0</v>
      </c>
      <c r="D10" s="2">
        <v>77.0</v>
      </c>
      <c r="E10" s="2"/>
      <c r="F10" s="2"/>
      <c r="G10" s="2"/>
      <c r="H10" s="6">
        <f t="shared" si="2"/>
        <v>-192</v>
      </c>
      <c r="I10" s="6">
        <f t="shared" ref="I10:J10" si="10">C10-F10</f>
        <v>135</v>
      </c>
      <c r="J10" s="6">
        <f t="shared" si="10"/>
        <v>77</v>
      </c>
    </row>
    <row r="11" ht="22.5" customHeight="1">
      <c r="A11" s="5">
        <v>45975.0</v>
      </c>
      <c r="B11" s="2">
        <v>192.0</v>
      </c>
      <c r="C11" s="2">
        <v>135.0</v>
      </c>
      <c r="D11" s="2">
        <v>77.0</v>
      </c>
      <c r="E11" s="2"/>
      <c r="F11" s="2"/>
      <c r="G11" s="2"/>
      <c r="H11" s="6">
        <f t="shared" si="2"/>
        <v>-192</v>
      </c>
      <c r="I11" s="6">
        <f t="shared" ref="I11:J11" si="11">C11-F11</f>
        <v>135</v>
      </c>
      <c r="J11" s="6">
        <f t="shared" si="11"/>
        <v>77</v>
      </c>
    </row>
    <row r="12" ht="22.5" customHeight="1">
      <c r="A12" s="5">
        <v>45976.0</v>
      </c>
      <c r="B12" s="2">
        <v>192.0</v>
      </c>
      <c r="C12" s="2">
        <v>135.0</v>
      </c>
      <c r="D12" s="2">
        <v>77.0</v>
      </c>
      <c r="E12" s="3"/>
      <c r="F12" s="3"/>
      <c r="G12" s="3"/>
      <c r="H12" s="6">
        <f t="shared" si="2"/>
        <v>-192</v>
      </c>
      <c r="I12" s="6">
        <f t="shared" ref="I12:J12" si="12">C12-F12</f>
        <v>135</v>
      </c>
      <c r="J12" s="6">
        <f t="shared" si="12"/>
        <v>77</v>
      </c>
    </row>
    <row r="13" ht="22.5" customHeight="1">
      <c r="A13" s="5">
        <v>45977.0</v>
      </c>
      <c r="B13" s="2">
        <v>192.0</v>
      </c>
      <c r="C13" s="2">
        <v>135.0</v>
      </c>
      <c r="D13" s="2">
        <v>77.0</v>
      </c>
      <c r="E13" s="3"/>
      <c r="F13" s="3"/>
      <c r="G13" s="3"/>
      <c r="H13" s="6">
        <f t="shared" si="2"/>
        <v>-192</v>
      </c>
      <c r="I13" s="6">
        <f t="shared" ref="I13:J13" si="13">C13-F13</f>
        <v>135</v>
      </c>
      <c r="J13" s="6">
        <f t="shared" si="13"/>
        <v>77</v>
      </c>
    </row>
    <row r="14" ht="22.5" customHeight="1">
      <c r="A14" s="5">
        <v>45978.0</v>
      </c>
      <c r="B14" s="2">
        <v>192.0</v>
      </c>
      <c r="C14" s="2">
        <v>135.0</v>
      </c>
      <c r="D14" s="2">
        <v>77.0</v>
      </c>
      <c r="E14" s="3"/>
      <c r="F14" s="3"/>
      <c r="G14" s="3"/>
      <c r="H14" s="6">
        <f t="shared" si="2"/>
        <v>-192</v>
      </c>
      <c r="I14" s="6">
        <f t="shared" ref="I14:J14" si="14">C14-F14</f>
        <v>135</v>
      </c>
      <c r="J14" s="6">
        <f t="shared" si="14"/>
        <v>77</v>
      </c>
    </row>
    <row r="15" ht="22.5" customHeight="1">
      <c r="A15" s="5">
        <v>45979.0</v>
      </c>
      <c r="B15" s="2">
        <v>192.0</v>
      </c>
      <c r="C15" s="2">
        <v>135.0</v>
      </c>
      <c r="D15" s="2">
        <v>77.0</v>
      </c>
      <c r="E15" s="3"/>
      <c r="F15" s="3"/>
      <c r="G15" s="3"/>
      <c r="H15" s="6">
        <f t="shared" si="2"/>
        <v>-192</v>
      </c>
      <c r="I15" s="6">
        <f t="shared" ref="I15:J15" si="15">C15-F15</f>
        <v>135</v>
      </c>
      <c r="J15" s="6">
        <f t="shared" si="15"/>
        <v>77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35.13"/>
    <col customWidth="1" min="5" max="7" width="22.63"/>
  </cols>
  <sheetData>
    <row r="1" ht="22.5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8" t="s">
        <v>45</v>
      </c>
    </row>
    <row r="2" ht="22.5" customHeight="1">
      <c r="A2" s="5">
        <v>45936.0</v>
      </c>
      <c r="B2" s="2" t="s">
        <v>46</v>
      </c>
      <c r="C2" s="2" t="s">
        <v>47</v>
      </c>
      <c r="D2" s="2" t="s">
        <v>48</v>
      </c>
      <c r="E2" s="2" t="s">
        <v>49</v>
      </c>
      <c r="F2" s="2">
        <v>12.5</v>
      </c>
      <c r="G2" s="2">
        <v>0.8</v>
      </c>
      <c r="H2" s="2">
        <v>9.8</v>
      </c>
    </row>
    <row r="3" ht="22.5" customHeight="1">
      <c r="A3" s="5">
        <v>45936.0</v>
      </c>
      <c r="B3" s="2" t="s">
        <v>46</v>
      </c>
      <c r="C3" s="2" t="s">
        <v>47</v>
      </c>
      <c r="D3" s="2" t="s">
        <v>50</v>
      </c>
      <c r="E3" s="2" t="s">
        <v>49</v>
      </c>
      <c r="F3" s="2">
        <v>7.2</v>
      </c>
      <c r="G3" s="2">
        <v>0.4</v>
      </c>
      <c r="H3" s="2">
        <v>0.0</v>
      </c>
    </row>
    <row r="4" ht="22.5" customHeight="1">
      <c r="A4" s="5">
        <v>45936.0</v>
      </c>
      <c r="B4" s="2" t="s">
        <v>46</v>
      </c>
      <c r="C4" s="2" t="s">
        <v>47</v>
      </c>
      <c r="D4" s="2" t="s">
        <v>51</v>
      </c>
      <c r="E4" s="2" t="s">
        <v>52</v>
      </c>
      <c r="F4" s="2">
        <v>1.5</v>
      </c>
      <c r="G4" s="2">
        <v>4.0</v>
      </c>
      <c r="H4" s="2">
        <v>0.2</v>
      </c>
    </row>
    <row r="5" ht="22.5" customHeight="1">
      <c r="A5" s="5">
        <v>45936.0</v>
      </c>
      <c r="B5" s="2" t="s">
        <v>46</v>
      </c>
      <c r="C5" s="2" t="s">
        <v>47</v>
      </c>
      <c r="D5" s="2" t="s">
        <v>53</v>
      </c>
      <c r="E5" s="2" t="s">
        <v>54</v>
      </c>
      <c r="F5" s="2">
        <v>2.5</v>
      </c>
      <c r="G5" s="2">
        <v>12.0</v>
      </c>
      <c r="H5" s="2">
        <v>1.7</v>
      </c>
    </row>
    <row r="6" ht="22.5" customHeight="1">
      <c r="A6" s="5">
        <v>45936.0</v>
      </c>
      <c r="B6" s="2" t="s">
        <v>46</v>
      </c>
      <c r="C6" s="2" t="s">
        <v>47</v>
      </c>
      <c r="D6" s="2" t="s">
        <v>55</v>
      </c>
      <c r="E6" s="2" t="s">
        <v>56</v>
      </c>
      <c r="F6" s="2">
        <v>1.3</v>
      </c>
      <c r="G6" s="2">
        <v>0.2</v>
      </c>
      <c r="H6" s="2">
        <v>3.1</v>
      </c>
    </row>
    <row r="7" ht="22.5" customHeight="1">
      <c r="A7" s="5">
        <v>45936.0</v>
      </c>
      <c r="B7" s="2" t="s">
        <v>46</v>
      </c>
      <c r="C7" s="2" t="s">
        <v>47</v>
      </c>
      <c r="D7" s="2" t="s">
        <v>57</v>
      </c>
      <c r="E7" s="2" t="s">
        <v>58</v>
      </c>
      <c r="F7" s="2">
        <v>8.0</v>
      </c>
      <c r="G7" s="2">
        <v>4.0</v>
      </c>
      <c r="H7" s="2">
        <v>4.0</v>
      </c>
    </row>
    <row r="8" ht="22.5" customHeight="1">
      <c r="A8" s="5">
        <v>45936.0</v>
      </c>
      <c r="B8" s="2" t="s">
        <v>46</v>
      </c>
      <c r="C8" s="2" t="s">
        <v>47</v>
      </c>
      <c r="D8" s="2" t="s">
        <v>59</v>
      </c>
      <c r="E8" s="2" t="s">
        <v>60</v>
      </c>
      <c r="F8" s="2">
        <v>0.0</v>
      </c>
      <c r="G8" s="2">
        <v>0.0</v>
      </c>
      <c r="H8" s="2">
        <v>0.0</v>
      </c>
    </row>
    <row r="9" ht="22.5" customHeight="1">
      <c r="A9" s="5">
        <v>45936.0</v>
      </c>
      <c r="B9" s="2" t="s">
        <v>61</v>
      </c>
      <c r="C9" s="2" t="s">
        <v>62</v>
      </c>
      <c r="D9" s="2" t="s">
        <v>63</v>
      </c>
      <c r="E9" s="2" t="s">
        <v>52</v>
      </c>
      <c r="F9" s="2">
        <v>7.0</v>
      </c>
      <c r="G9" s="2">
        <v>48.0</v>
      </c>
      <c r="H9" s="2">
        <v>7.0</v>
      </c>
    </row>
    <row r="10" ht="22.5" customHeight="1">
      <c r="A10" s="5">
        <v>45936.0</v>
      </c>
      <c r="B10" s="2" t="s">
        <v>61</v>
      </c>
      <c r="C10" s="2" t="s">
        <v>62</v>
      </c>
      <c r="D10" s="2" t="s">
        <v>64</v>
      </c>
      <c r="E10" s="2" t="s">
        <v>65</v>
      </c>
      <c r="F10" s="2">
        <v>25.0</v>
      </c>
      <c r="G10" s="2">
        <v>0.0</v>
      </c>
      <c r="H10" s="2">
        <v>1.0</v>
      </c>
    </row>
    <row r="11" ht="22.5" customHeight="1">
      <c r="A11" s="5">
        <v>45936.0</v>
      </c>
      <c r="B11" s="2" t="s">
        <v>61</v>
      </c>
      <c r="C11" s="2" t="s">
        <v>62</v>
      </c>
      <c r="D11" s="2" t="s">
        <v>66</v>
      </c>
      <c r="E11" s="2" t="s">
        <v>58</v>
      </c>
      <c r="F11" s="2">
        <v>8.0</v>
      </c>
      <c r="G11" s="2">
        <v>4.0</v>
      </c>
      <c r="H11" s="2">
        <v>4.0</v>
      </c>
    </row>
    <row r="12" ht="22.5" customHeight="1">
      <c r="A12" s="5">
        <v>45936.0</v>
      </c>
      <c r="B12" s="2" t="s">
        <v>61</v>
      </c>
      <c r="C12" s="2" t="s">
        <v>62</v>
      </c>
      <c r="D12" s="2" t="s">
        <v>67</v>
      </c>
      <c r="E12" s="2" t="s">
        <v>68</v>
      </c>
      <c r="F12" s="2">
        <v>1.0</v>
      </c>
      <c r="G12" s="2">
        <v>4.0</v>
      </c>
      <c r="H12" s="2">
        <v>0.1</v>
      </c>
    </row>
    <row r="13" ht="22.5" customHeight="1">
      <c r="A13" s="5">
        <v>45936.0</v>
      </c>
      <c r="B13" s="2" t="s">
        <v>69</v>
      </c>
      <c r="C13" s="2" t="s">
        <v>70</v>
      </c>
      <c r="D13" s="2" t="s">
        <v>71</v>
      </c>
      <c r="E13" s="2" t="s">
        <v>72</v>
      </c>
      <c r="F13" s="2">
        <v>44.7</v>
      </c>
      <c r="G13" s="2">
        <v>0.0</v>
      </c>
      <c r="H13" s="2">
        <v>4.5</v>
      </c>
    </row>
    <row r="14" ht="22.5" customHeight="1">
      <c r="A14" s="5">
        <v>45936.0</v>
      </c>
      <c r="B14" s="2" t="s">
        <v>69</v>
      </c>
      <c r="C14" s="2" t="s">
        <v>70</v>
      </c>
      <c r="D14" s="2" t="s">
        <v>73</v>
      </c>
      <c r="E14" s="2" t="s">
        <v>60</v>
      </c>
      <c r="F14" s="2">
        <v>4.0</v>
      </c>
      <c r="G14" s="2">
        <v>6.2</v>
      </c>
      <c r="H14" s="2">
        <v>0.6</v>
      </c>
    </row>
    <row r="15" ht="22.5" customHeight="1">
      <c r="A15" s="5">
        <v>45936.0</v>
      </c>
      <c r="B15" s="2" t="s">
        <v>69</v>
      </c>
      <c r="C15" s="2" t="s">
        <v>70</v>
      </c>
      <c r="D15" s="2" t="s">
        <v>74</v>
      </c>
      <c r="E15" s="2" t="s">
        <v>75</v>
      </c>
      <c r="F15" s="2">
        <v>2.5</v>
      </c>
      <c r="G15" s="2">
        <v>16.5</v>
      </c>
      <c r="H15" s="2">
        <v>0.5</v>
      </c>
    </row>
    <row r="16" ht="22.5" customHeight="1">
      <c r="A16" s="5">
        <v>45936.0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30.3</v>
      </c>
      <c r="G16" s="2">
        <v>0.0</v>
      </c>
      <c r="H16" s="2">
        <v>18.0</v>
      </c>
    </row>
    <row r="17" ht="22.5" customHeight="1">
      <c r="A17" s="5">
        <v>45936.0</v>
      </c>
      <c r="B17" s="2" t="s">
        <v>76</v>
      </c>
      <c r="C17" s="2" t="s">
        <v>77</v>
      </c>
      <c r="D17" s="2" t="s">
        <v>80</v>
      </c>
      <c r="E17" s="2" t="s">
        <v>81</v>
      </c>
      <c r="F17" s="2">
        <v>3.7</v>
      </c>
      <c r="G17" s="2">
        <v>25.0</v>
      </c>
      <c r="H17" s="2">
        <v>0.5</v>
      </c>
    </row>
    <row r="18" ht="22.5" customHeight="1">
      <c r="A18" s="5">
        <v>45936.0</v>
      </c>
      <c r="B18" s="2" t="s">
        <v>76</v>
      </c>
      <c r="C18" s="2" t="s">
        <v>77</v>
      </c>
      <c r="D18" s="2" t="s">
        <v>82</v>
      </c>
      <c r="E18" s="2" t="s">
        <v>83</v>
      </c>
      <c r="F18" s="2">
        <v>4.2</v>
      </c>
      <c r="G18" s="2">
        <v>1.0</v>
      </c>
      <c r="H18" s="2">
        <v>6.4</v>
      </c>
    </row>
    <row r="19" ht="22.5" customHeight="1">
      <c r="A19" s="5">
        <v>45936.0</v>
      </c>
      <c r="B19" s="2" t="s">
        <v>76</v>
      </c>
      <c r="C19" s="2" t="s">
        <v>77</v>
      </c>
      <c r="D19" s="2" t="s">
        <v>84</v>
      </c>
      <c r="E19" s="2" t="s">
        <v>60</v>
      </c>
      <c r="F19" s="2">
        <v>1.8</v>
      </c>
      <c r="G19" s="2">
        <v>3.2</v>
      </c>
      <c r="H19" s="2">
        <v>0.2</v>
      </c>
    </row>
    <row r="20" ht="22.5" customHeight="1">
      <c r="A20" s="5">
        <v>45967.0</v>
      </c>
      <c r="B20" s="2" t="s">
        <v>46</v>
      </c>
      <c r="C20" s="2" t="s">
        <v>47</v>
      </c>
      <c r="D20" s="2" t="s">
        <v>48</v>
      </c>
      <c r="E20" s="2" t="s">
        <v>49</v>
      </c>
      <c r="F20" s="2">
        <v>12.5</v>
      </c>
      <c r="G20" s="2">
        <v>0.8</v>
      </c>
      <c r="H20" s="2">
        <v>9.8</v>
      </c>
    </row>
    <row r="21" ht="22.5" customHeight="1">
      <c r="A21" s="5">
        <v>45967.0</v>
      </c>
      <c r="B21" s="2" t="s">
        <v>46</v>
      </c>
      <c r="C21" s="2" t="s">
        <v>47</v>
      </c>
      <c r="D21" s="2" t="s">
        <v>50</v>
      </c>
      <c r="E21" s="2" t="s">
        <v>49</v>
      </c>
      <c r="F21" s="2">
        <v>7.2</v>
      </c>
      <c r="G21" s="2">
        <v>0.4</v>
      </c>
      <c r="H21" s="2">
        <v>0.0</v>
      </c>
    </row>
    <row r="22" ht="22.5" customHeight="1">
      <c r="A22" s="5">
        <v>45967.0</v>
      </c>
      <c r="B22" s="2" t="s">
        <v>46</v>
      </c>
      <c r="C22" s="2" t="s">
        <v>47</v>
      </c>
      <c r="D22" s="2" t="s">
        <v>85</v>
      </c>
      <c r="E22" s="2" t="s">
        <v>52</v>
      </c>
      <c r="F22" s="2">
        <v>1.5</v>
      </c>
      <c r="G22" s="2">
        <v>4.0</v>
      </c>
      <c r="H22" s="2">
        <v>0.2</v>
      </c>
    </row>
    <row r="23" ht="22.5" customHeight="1">
      <c r="A23" s="5">
        <v>45967.0</v>
      </c>
      <c r="B23" s="2" t="s">
        <v>46</v>
      </c>
      <c r="C23" s="2" t="s">
        <v>47</v>
      </c>
      <c r="D23" s="2" t="s">
        <v>86</v>
      </c>
      <c r="E23" s="2" t="s">
        <v>87</v>
      </c>
      <c r="F23" s="2">
        <v>1.0</v>
      </c>
      <c r="G23" s="2">
        <v>0.5</v>
      </c>
      <c r="H23" s="2">
        <v>0.1</v>
      </c>
    </row>
    <row r="24" ht="22.5" customHeight="1">
      <c r="A24" s="5">
        <v>45967.0</v>
      </c>
      <c r="B24" s="2" t="s">
        <v>46</v>
      </c>
      <c r="C24" s="2" t="s">
        <v>47</v>
      </c>
      <c r="D24" s="2" t="s">
        <v>88</v>
      </c>
      <c r="E24" s="2" t="s">
        <v>89</v>
      </c>
      <c r="F24" s="2">
        <v>0.0</v>
      </c>
      <c r="G24" s="2">
        <v>0.0</v>
      </c>
      <c r="H24" s="2">
        <v>4.5</v>
      </c>
    </row>
    <row r="25" ht="22.5" customHeight="1">
      <c r="A25" s="5">
        <v>45967.0</v>
      </c>
      <c r="B25" s="2" t="s">
        <v>46</v>
      </c>
      <c r="C25" s="2" t="s">
        <v>47</v>
      </c>
      <c r="D25" s="2" t="s">
        <v>90</v>
      </c>
      <c r="E25" s="2" t="s">
        <v>91</v>
      </c>
      <c r="F25" s="2">
        <v>7.0</v>
      </c>
      <c r="G25" s="2">
        <v>0.0</v>
      </c>
      <c r="H25" s="2">
        <v>8.0</v>
      </c>
    </row>
    <row r="26" ht="22.5" customHeight="1">
      <c r="A26" s="5">
        <v>45967.0</v>
      </c>
      <c r="B26" s="2" t="s">
        <v>46</v>
      </c>
      <c r="C26" s="2" t="s">
        <v>47</v>
      </c>
      <c r="D26" s="2" t="s">
        <v>59</v>
      </c>
      <c r="E26" s="2" t="s">
        <v>60</v>
      </c>
      <c r="F26" s="2">
        <v>0.0</v>
      </c>
      <c r="G26" s="2">
        <v>0.0</v>
      </c>
      <c r="H26" s="2">
        <v>0.0</v>
      </c>
    </row>
    <row r="27" ht="22.5" customHeight="1">
      <c r="A27" s="5">
        <v>45967.0</v>
      </c>
      <c r="B27" s="2" t="s">
        <v>92</v>
      </c>
      <c r="C27" s="2" t="s">
        <v>62</v>
      </c>
      <c r="D27" s="2" t="s">
        <v>93</v>
      </c>
      <c r="E27" s="2" t="s">
        <v>94</v>
      </c>
      <c r="F27" s="2">
        <v>10.0</v>
      </c>
      <c r="G27" s="2">
        <v>6.5</v>
      </c>
      <c r="H27" s="2">
        <v>9.0</v>
      </c>
    </row>
    <row r="28" ht="22.5" customHeight="1">
      <c r="A28" s="5">
        <v>45967.0</v>
      </c>
      <c r="B28" s="2" t="s">
        <v>92</v>
      </c>
      <c r="C28" s="2" t="s">
        <v>62</v>
      </c>
      <c r="D28" s="2" t="s">
        <v>95</v>
      </c>
      <c r="E28" s="2" t="s">
        <v>96</v>
      </c>
      <c r="F28" s="2">
        <v>6.0</v>
      </c>
      <c r="G28" s="2">
        <v>2.5</v>
      </c>
      <c r="H28" s="2">
        <v>14.0</v>
      </c>
    </row>
    <row r="29" ht="22.5" customHeight="1">
      <c r="A29" s="5">
        <v>45967.0</v>
      </c>
      <c r="B29" s="2" t="s">
        <v>97</v>
      </c>
      <c r="C29" s="2" t="s">
        <v>70</v>
      </c>
      <c r="D29" s="2" t="s">
        <v>98</v>
      </c>
      <c r="E29" s="2" t="s">
        <v>72</v>
      </c>
      <c r="F29" s="2">
        <v>44.7</v>
      </c>
      <c r="G29" s="2">
        <v>0.0</v>
      </c>
      <c r="H29" s="2">
        <v>4.5</v>
      </c>
    </row>
    <row r="30" ht="22.5" customHeight="1">
      <c r="A30" s="5">
        <v>45967.0</v>
      </c>
      <c r="B30" s="2" t="s">
        <v>97</v>
      </c>
      <c r="C30" s="2" t="s">
        <v>70</v>
      </c>
      <c r="D30" s="2" t="s">
        <v>99</v>
      </c>
      <c r="E30" s="2" t="s">
        <v>81</v>
      </c>
      <c r="F30" s="2">
        <v>2.5</v>
      </c>
      <c r="G30" s="2">
        <v>22.0</v>
      </c>
      <c r="H30" s="2">
        <v>0.7</v>
      </c>
    </row>
    <row r="31" ht="22.5" customHeight="1">
      <c r="A31" s="5">
        <v>45967.0</v>
      </c>
      <c r="B31" s="2" t="s">
        <v>97</v>
      </c>
      <c r="C31" s="2" t="s">
        <v>70</v>
      </c>
      <c r="D31" s="2" t="s">
        <v>100</v>
      </c>
      <c r="E31" s="2" t="s">
        <v>60</v>
      </c>
      <c r="F31" s="2">
        <v>4.0</v>
      </c>
      <c r="G31" s="2">
        <v>8.0</v>
      </c>
      <c r="H31" s="2">
        <v>0.5</v>
      </c>
    </row>
    <row r="32" ht="22.5" customHeight="1">
      <c r="A32" s="5">
        <v>45967.0</v>
      </c>
      <c r="B32" s="2" t="s">
        <v>101</v>
      </c>
      <c r="C32" s="2" t="s">
        <v>102</v>
      </c>
      <c r="D32" s="2" t="s">
        <v>103</v>
      </c>
      <c r="E32" s="2" t="s">
        <v>89</v>
      </c>
      <c r="F32" s="2">
        <v>2.0</v>
      </c>
      <c r="G32" s="2">
        <v>1.0</v>
      </c>
      <c r="H32" s="2">
        <v>4.0</v>
      </c>
    </row>
    <row r="33" ht="22.5" customHeight="1">
      <c r="A33" s="5">
        <v>45967.0</v>
      </c>
      <c r="B33" s="2" t="s">
        <v>104</v>
      </c>
      <c r="C33" s="2" t="s">
        <v>77</v>
      </c>
      <c r="D33" s="2" t="s">
        <v>105</v>
      </c>
      <c r="E33" s="2" t="s">
        <v>106</v>
      </c>
      <c r="F33" s="2">
        <v>30.8</v>
      </c>
      <c r="G33" s="2">
        <v>0.0</v>
      </c>
      <c r="H33" s="2">
        <v>7.0</v>
      </c>
    </row>
    <row r="34" ht="22.5" customHeight="1">
      <c r="A34" s="5">
        <v>45967.0</v>
      </c>
      <c r="B34" s="2" t="s">
        <v>104</v>
      </c>
      <c r="C34" s="2" t="s">
        <v>77</v>
      </c>
      <c r="D34" s="2" t="s">
        <v>107</v>
      </c>
      <c r="E34" s="2" t="s">
        <v>108</v>
      </c>
      <c r="F34" s="2">
        <v>5.6</v>
      </c>
      <c r="G34" s="2">
        <v>4.4</v>
      </c>
      <c r="H34" s="2">
        <v>0.4</v>
      </c>
    </row>
    <row r="35" ht="22.5" customHeight="1">
      <c r="A35" s="5">
        <v>45967.0</v>
      </c>
      <c r="B35" s="2" t="s">
        <v>104</v>
      </c>
      <c r="C35" s="2" t="s">
        <v>77</v>
      </c>
      <c r="D35" s="2" t="s">
        <v>109</v>
      </c>
      <c r="E35" s="2" t="s">
        <v>110</v>
      </c>
      <c r="F35" s="2">
        <v>6.0</v>
      </c>
      <c r="G35" s="2">
        <v>0.0</v>
      </c>
      <c r="H35" s="2">
        <v>5.0</v>
      </c>
    </row>
    <row r="36" ht="22.5" customHeight="1">
      <c r="A36" s="5">
        <v>45967.0</v>
      </c>
      <c r="B36" s="2" t="s">
        <v>104</v>
      </c>
      <c r="C36" s="2" t="s">
        <v>77</v>
      </c>
      <c r="D36" s="2" t="s">
        <v>111</v>
      </c>
      <c r="E36" s="2" t="s">
        <v>94</v>
      </c>
      <c r="F36" s="2">
        <v>13.0</v>
      </c>
      <c r="G36" s="2">
        <v>15.0</v>
      </c>
      <c r="H36" s="2">
        <v>0.0</v>
      </c>
    </row>
    <row r="37" ht="22.5" customHeight="1">
      <c r="A37" s="5">
        <v>45967.0</v>
      </c>
      <c r="B37" s="2" t="s">
        <v>104</v>
      </c>
      <c r="C37" s="2" t="s">
        <v>77</v>
      </c>
      <c r="D37" s="2" t="s">
        <v>103</v>
      </c>
      <c r="E37" s="2" t="s">
        <v>89</v>
      </c>
      <c r="F37" s="2">
        <v>2.0</v>
      </c>
      <c r="G37" s="2">
        <v>1.0</v>
      </c>
      <c r="H37" s="2">
        <v>4.0</v>
      </c>
    </row>
    <row r="38" ht="22.5" customHeight="1">
      <c r="A38" s="5">
        <v>45968.0</v>
      </c>
      <c r="B38" s="2" t="s">
        <v>46</v>
      </c>
      <c r="C38" s="2" t="s">
        <v>47</v>
      </c>
      <c r="D38" s="2" t="s">
        <v>48</v>
      </c>
      <c r="E38" s="2" t="s">
        <v>49</v>
      </c>
      <c r="F38" s="2">
        <v>12.5</v>
      </c>
      <c r="G38" s="2">
        <v>0.8</v>
      </c>
      <c r="H38" s="2">
        <v>9.8</v>
      </c>
    </row>
    <row r="39" ht="22.5" customHeight="1">
      <c r="A39" s="5">
        <v>45968.0</v>
      </c>
      <c r="B39" s="2" t="s">
        <v>46</v>
      </c>
      <c r="C39" s="2" t="s">
        <v>47</v>
      </c>
      <c r="D39" s="2" t="s">
        <v>50</v>
      </c>
      <c r="E39" s="2" t="s">
        <v>49</v>
      </c>
      <c r="F39" s="2">
        <v>7.2</v>
      </c>
      <c r="G39" s="2">
        <v>0.4</v>
      </c>
      <c r="H39" s="2">
        <v>0.0</v>
      </c>
    </row>
    <row r="40" ht="22.5" customHeight="1">
      <c r="A40" s="5">
        <v>45968.0</v>
      </c>
      <c r="B40" s="2" t="s">
        <v>46</v>
      </c>
      <c r="C40" s="2" t="s">
        <v>47</v>
      </c>
      <c r="D40" s="2" t="s">
        <v>112</v>
      </c>
      <c r="E40" s="2" t="s">
        <v>52</v>
      </c>
      <c r="F40" s="2">
        <v>1.5</v>
      </c>
      <c r="G40" s="2">
        <v>4.0</v>
      </c>
      <c r="H40" s="2">
        <v>0.2</v>
      </c>
    </row>
    <row r="41" ht="22.5" customHeight="1">
      <c r="A41" s="5">
        <v>45968.0</v>
      </c>
      <c r="B41" s="2" t="s">
        <v>46</v>
      </c>
      <c r="C41" s="2" t="s">
        <v>47</v>
      </c>
      <c r="D41" s="2" t="s">
        <v>113</v>
      </c>
      <c r="E41" s="2" t="s">
        <v>114</v>
      </c>
      <c r="F41" s="2">
        <v>10.5</v>
      </c>
      <c r="G41" s="2">
        <v>0.0</v>
      </c>
      <c r="H41" s="2">
        <v>12.0</v>
      </c>
    </row>
    <row r="42" ht="22.5" customHeight="1">
      <c r="A42" s="5">
        <v>45968.0</v>
      </c>
      <c r="B42" s="2" t="s">
        <v>46</v>
      </c>
      <c r="C42" s="2" t="s">
        <v>47</v>
      </c>
      <c r="D42" s="2" t="s">
        <v>59</v>
      </c>
      <c r="E42" s="2" t="s">
        <v>60</v>
      </c>
      <c r="F42" s="2">
        <v>0.0</v>
      </c>
      <c r="G42" s="2">
        <v>0.0</v>
      </c>
      <c r="H42" s="2">
        <v>0.0</v>
      </c>
    </row>
    <row r="43" ht="22.5" customHeight="1">
      <c r="A43" s="5">
        <v>45968.0</v>
      </c>
      <c r="B43" s="2" t="s">
        <v>115</v>
      </c>
      <c r="C43" s="2" t="s">
        <v>62</v>
      </c>
      <c r="D43" s="2" t="s">
        <v>116</v>
      </c>
      <c r="E43" s="2" t="s">
        <v>117</v>
      </c>
      <c r="F43" s="2">
        <v>0.1</v>
      </c>
      <c r="G43" s="2">
        <v>8.5</v>
      </c>
      <c r="H43" s="2">
        <v>0.1</v>
      </c>
    </row>
    <row r="44" ht="22.5" customHeight="1">
      <c r="A44" s="5">
        <v>45968.0</v>
      </c>
      <c r="B44" s="2" t="s">
        <v>115</v>
      </c>
      <c r="C44" s="2" t="s">
        <v>62</v>
      </c>
      <c r="D44" s="2" t="s">
        <v>118</v>
      </c>
      <c r="E44" s="2" t="s">
        <v>119</v>
      </c>
      <c r="F44" s="2">
        <v>4.0</v>
      </c>
      <c r="G44" s="2">
        <v>1.5</v>
      </c>
      <c r="H44" s="2">
        <v>8.0</v>
      </c>
    </row>
    <row r="45" ht="22.5" customHeight="1">
      <c r="A45" s="5">
        <v>45968.0</v>
      </c>
      <c r="B45" s="2" t="s">
        <v>97</v>
      </c>
      <c r="C45" s="2" t="s">
        <v>70</v>
      </c>
      <c r="D45" s="2" t="s">
        <v>120</v>
      </c>
      <c r="E45" s="2" t="s">
        <v>72</v>
      </c>
      <c r="F45" s="2">
        <v>44.7</v>
      </c>
      <c r="G45" s="2">
        <v>0.0</v>
      </c>
      <c r="H45" s="2">
        <v>4.5</v>
      </c>
    </row>
    <row r="46" ht="22.5" customHeight="1">
      <c r="A46" s="5">
        <v>45968.0</v>
      </c>
      <c r="B46" s="2" t="s">
        <v>97</v>
      </c>
      <c r="C46" s="2" t="s">
        <v>70</v>
      </c>
      <c r="D46" s="2" t="s">
        <v>99</v>
      </c>
      <c r="E46" s="2" t="s">
        <v>81</v>
      </c>
      <c r="F46" s="2">
        <v>2.5</v>
      </c>
      <c r="G46" s="2">
        <v>20.0</v>
      </c>
      <c r="H46" s="2">
        <v>0.7</v>
      </c>
    </row>
    <row r="47" ht="22.5" customHeight="1">
      <c r="A47" s="5">
        <v>45968.0</v>
      </c>
      <c r="B47" s="2" t="s">
        <v>97</v>
      </c>
      <c r="C47" s="2" t="s">
        <v>70</v>
      </c>
      <c r="D47" s="2" t="s">
        <v>100</v>
      </c>
      <c r="E47" s="2" t="s">
        <v>121</v>
      </c>
      <c r="F47" s="2">
        <v>6.0</v>
      </c>
      <c r="G47" s="2">
        <v>12.5</v>
      </c>
      <c r="H47" s="2">
        <v>0.5</v>
      </c>
    </row>
    <row r="48" ht="22.5" customHeight="1">
      <c r="A48" s="5">
        <v>45968.0</v>
      </c>
      <c r="B48" s="2" t="s">
        <v>122</v>
      </c>
      <c r="C48" s="2" t="s">
        <v>102</v>
      </c>
      <c r="D48" s="2" t="s">
        <v>66</v>
      </c>
      <c r="E48" s="2" t="s">
        <v>94</v>
      </c>
      <c r="F48" s="2">
        <v>11.0</v>
      </c>
      <c r="G48" s="2">
        <v>15.0</v>
      </c>
      <c r="H48" s="2">
        <v>0.0</v>
      </c>
    </row>
    <row r="49" ht="22.5" customHeight="1">
      <c r="A49" s="5">
        <v>45968.0</v>
      </c>
      <c r="B49" s="2" t="s">
        <v>122</v>
      </c>
      <c r="C49" s="2" t="s">
        <v>102</v>
      </c>
      <c r="D49" s="2" t="s">
        <v>123</v>
      </c>
      <c r="E49" s="2" t="s">
        <v>96</v>
      </c>
      <c r="F49" s="2">
        <v>7.0</v>
      </c>
      <c r="G49" s="2">
        <v>4.0</v>
      </c>
      <c r="H49" s="2">
        <v>14.0</v>
      </c>
    </row>
    <row r="50" ht="22.5" customHeight="1">
      <c r="A50" s="5">
        <v>45968.0</v>
      </c>
      <c r="B50" s="2" t="s">
        <v>104</v>
      </c>
      <c r="C50" s="2" t="s">
        <v>77</v>
      </c>
      <c r="D50" s="2" t="s">
        <v>124</v>
      </c>
      <c r="E50" s="2" t="s">
        <v>72</v>
      </c>
      <c r="F50" s="2">
        <v>45.0</v>
      </c>
      <c r="G50" s="2">
        <v>0.0</v>
      </c>
      <c r="H50" s="2">
        <v>4.0</v>
      </c>
    </row>
    <row r="51" ht="22.5" customHeight="1">
      <c r="A51" s="5">
        <v>45968.0</v>
      </c>
      <c r="B51" s="2" t="s">
        <v>104</v>
      </c>
      <c r="C51" s="2" t="s">
        <v>77</v>
      </c>
      <c r="D51" s="2" t="s">
        <v>100</v>
      </c>
      <c r="E51" s="2" t="s">
        <v>121</v>
      </c>
      <c r="F51" s="2">
        <v>6.0</v>
      </c>
      <c r="G51" s="2">
        <v>12.5</v>
      </c>
      <c r="H51" s="2">
        <v>0.5</v>
      </c>
    </row>
    <row r="52" ht="22.5" customHeight="1">
      <c r="A52" s="5">
        <v>45968.0</v>
      </c>
      <c r="B52" s="2" t="s">
        <v>104</v>
      </c>
      <c r="C52" s="2" t="s">
        <v>77</v>
      </c>
      <c r="D52" s="2" t="s">
        <v>125</v>
      </c>
      <c r="E52" s="2" t="s">
        <v>81</v>
      </c>
      <c r="F52" s="2">
        <v>1.5</v>
      </c>
      <c r="G52" s="2">
        <v>3.0</v>
      </c>
      <c r="H52" s="2">
        <v>0.1</v>
      </c>
    </row>
    <row r="53" ht="22.5" customHeight="1">
      <c r="A53" s="5">
        <v>45968.0</v>
      </c>
      <c r="B53" s="2" t="s">
        <v>126</v>
      </c>
      <c r="C53" s="2" t="s">
        <v>127</v>
      </c>
      <c r="D53" s="2" t="s">
        <v>128</v>
      </c>
      <c r="E53" s="2" t="s">
        <v>58</v>
      </c>
      <c r="F53" s="2">
        <v>9.0</v>
      </c>
      <c r="G53" s="2">
        <v>3.0</v>
      </c>
      <c r="H53" s="2">
        <v>10.0</v>
      </c>
    </row>
    <row r="54" ht="22.5" customHeight="1">
      <c r="A54" s="5">
        <v>45968.0</v>
      </c>
      <c r="B54" s="2" t="s">
        <v>126</v>
      </c>
      <c r="C54" s="2" t="s">
        <v>127</v>
      </c>
      <c r="D54" s="2" t="s">
        <v>129</v>
      </c>
      <c r="E54" s="2" t="s">
        <v>130</v>
      </c>
      <c r="F54" s="2">
        <v>2.0</v>
      </c>
      <c r="G54" s="2">
        <v>15.2</v>
      </c>
      <c r="H54" s="2">
        <v>4.0</v>
      </c>
    </row>
    <row r="55" ht="22.5" customHeight="1">
      <c r="A55" s="5">
        <v>45969.0</v>
      </c>
      <c r="B55" s="2" t="s">
        <v>46</v>
      </c>
      <c r="C55" s="2" t="s">
        <v>47</v>
      </c>
      <c r="D55" s="2" t="s">
        <v>48</v>
      </c>
      <c r="E55" s="2" t="s">
        <v>49</v>
      </c>
      <c r="F55" s="2">
        <v>12.5</v>
      </c>
      <c r="G55" s="2">
        <v>0.8</v>
      </c>
      <c r="H55" s="2">
        <v>9.8</v>
      </c>
    </row>
    <row r="56" ht="22.5" customHeight="1">
      <c r="A56" s="5">
        <v>45969.0</v>
      </c>
      <c r="B56" s="2" t="s">
        <v>46</v>
      </c>
      <c r="C56" s="2" t="s">
        <v>47</v>
      </c>
      <c r="D56" s="2" t="s">
        <v>50</v>
      </c>
      <c r="E56" s="2" t="s">
        <v>49</v>
      </c>
      <c r="F56" s="2">
        <v>7.2</v>
      </c>
      <c r="G56" s="2">
        <v>0.4</v>
      </c>
      <c r="H56" s="2">
        <v>0.0</v>
      </c>
    </row>
    <row r="57" ht="22.5" customHeight="1">
      <c r="A57" s="5">
        <v>45969.0</v>
      </c>
      <c r="B57" s="2" t="s">
        <v>46</v>
      </c>
      <c r="C57" s="2" t="s">
        <v>47</v>
      </c>
      <c r="D57" s="2" t="s">
        <v>131</v>
      </c>
      <c r="E57" s="2" t="s">
        <v>60</v>
      </c>
      <c r="F57" s="2">
        <v>2.4</v>
      </c>
      <c r="G57" s="2">
        <v>3.9</v>
      </c>
      <c r="H57" s="2">
        <v>0.4</v>
      </c>
    </row>
    <row r="58" ht="22.5" customHeight="1">
      <c r="A58" s="5">
        <v>45969.0</v>
      </c>
      <c r="B58" s="2" t="s">
        <v>46</v>
      </c>
      <c r="C58" s="2" t="s">
        <v>47</v>
      </c>
      <c r="D58" s="2" t="s">
        <v>132</v>
      </c>
      <c r="E58" s="2" t="s">
        <v>133</v>
      </c>
      <c r="F58" s="2">
        <v>1.0</v>
      </c>
      <c r="G58" s="2">
        <v>1.5</v>
      </c>
      <c r="H58" s="2">
        <v>7.0</v>
      </c>
    </row>
    <row r="59" ht="22.5" customHeight="1">
      <c r="A59" s="5">
        <v>45969.0</v>
      </c>
      <c r="B59" s="2" t="s">
        <v>46</v>
      </c>
      <c r="C59" s="2" t="s">
        <v>47</v>
      </c>
      <c r="D59" s="2" t="s">
        <v>128</v>
      </c>
      <c r="E59" s="2" t="s">
        <v>134</v>
      </c>
      <c r="F59" s="2">
        <v>5.4</v>
      </c>
      <c r="G59" s="2">
        <v>1.5</v>
      </c>
      <c r="H59" s="2">
        <v>5.0</v>
      </c>
    </row>
    <row r="60" ht="22.5" customHeight="1">
      <c r="A60" s="5">
        <v>45969.0</v>
      </c>
      <c r="B60" s="2" t="s">
        <v>46</v>
      </c>
      <c r="C60" s="2" t="s">
        <v>47</v>
      </c>
      <c r="D60" s="2" t="s">
        <v>135</v>
      </c>
      <c r="E60" s="2" t="s">
        <v>60</v>
      </c>
      <c r="F60" s="2">
        <v>0.0</v>
      </c>
      <c r="G60" s="2">
        <v>0.0</v>
      </c>
      <c r="H60" s="2">
        <v>0.0</v>
      </c>
    </row>
    <row r="61" ht="22.5" customHeight="1">
      <c r="A61" s="5">
        <v>45969.0</v>
      </c>
      <c r="B61" s="2" t="s">
        <v>115</v>
      </c>
      <c r="C61" s="2" t="s">
        <v>62</v>
      </c>
      <c r="D61" s="2" t="s">
        <v>136</v>
      </c>
      <c r="E61" s="2" t="s">
        <v>137</v>
      </c>
      <c r="F61" s="2">
        <v>7.0</v>
      </c>
      <c r="G61" s="2">
        <v>4.0</v>
      </c>
      <c r="H61" s="2">
        <v>14.0</v>
      </c>
    </row>
    <row r="62" ht="22.5" customHeight="1">
      <c r="A62" s="5">
        <v>45969.0</v>
      </c>
      <c r="B62" s="2" t="s">
        <v>97</v>
      </c>
      <c r="C62" s="2" t="s">
        <v>70</v>
      </c>
      <c r="D62" s="2" t="s">
        <v>138</v>
      </c>
      <c r="E62" s="2" t="s">
        <v>139</v>
      </c>
      <c r="F62" s="2">
        <v>89.4</v>
      </c>
      <c r="G62" s="2">
        <v>0.0</v>
      </c>
      <c r="H62" s="2">
        <v>9.0</v>
      </c>
    </row>
    <row r="63" ht="22.5" customHeight="1">
      <c r="A63" s="5">
        <v>45969.0</v>
      </c>
      <c r="B63" s="2" t="s">
        <v>97</v>
      </c>
      <c r="C63" s="2" t="s">
        <v>70</v>
      </c>
      <c r="D63" s="2" t="s">
        <v>132</v>
      </c>
      <c r="E63" s="2" t="s">
        <v>140</v>
      </c>
      <c r="F63" s="2">
        <v>2.0</v>
      </c>
      <c r="G63" s="2">
        <v>3.0</v>
      </c>
      <c r="H63" s="2">
        <v>15.0</v>
      </c>
    </row>
    <row r="64" ht="22.5" customHeight="1">
      <c r="A64" s="5">
        <v>45969.0</v>
      </c>
      <c r="B64" s="2" t="s">
        <v>97</v>
      </c>
      <c r="C64" s="2" t="s">
        <v>70</v>
      </c>
      <c r="D64" s="2" t="s">
        <v>100</v>
      </c>
      <c r="E64" s="2" t="s">
        <v>60</v>
      </c>
      <c r="F64" s="2">
        <v>4.0</v>
      </c>
      <c r="G64" s="2">
        <v>8.0</v>
      </c>
      <c r="H64" s="2">
        <v>0.5</v>
      </c>
    </row>
    <row r="65" ht="22.5" customHeight="1">
      <c r="A65" s="5">
        <v>45969.0</v>
      </c>
      <c r="B65" s="2" t="s">
        <v>101</v>
      </c>
      <c r="C65" s="2" t="s">
        <v>102</v>
      </c>
      <c r="D65" s="2" t="s">
        <v>141</v>
      </c>
      <c r="E65" s="2" t="s">
        <v>142</v>
      </c>
      <c r="F65" s="2">
        <v>1.0</v>
      </c>
      <c r="G65" s="2">
        <v>2.5</v>
      </c>
      <c r="H65" s="2">
        <v>3.0</v>
      </c>
    </row>
    <row r="66" ht="22.5" customHeight="1">
      <c r="A66" s="5">
        <v>45969.0</v>
      </c>
      <c r="B66" s="2" t="s">
        <v>101</v>
      </c>
      <c r="C66" s="2" t="s">
        <v>102</v>
      </c>
      <c r="D66" s="2" t="s">
        <v>103</v>
      </c>
      <c r="E66" s="2" t="s">
        <v>143</v>
      </c>
      <c r="F66" s="2">
        <v>3.7</v>
      </c>
      <c r="G66" s="2">
        <v>2.4</v>
      </c>
      <c r="H66" s="2">
        <v>7.6</v>
      </c>
    </row>
    <row r="67" ht="22.5" customHeight="1">
      <c r="A67" s="5">
        <v>45969.0</v>
      </c>
      <c r="B67" s="2" t="s">
        <v>104</v>
      </c>
      <c r="C67" s="2" t="s">
        <v>77</v>
      </c>
      <c r="D67" s="2" t="s">
        <v>138</v>
      </c>
      <c r="E67" s="2" t="s">
        <v>144</v>
      </c>
      <c r="F67" s="2">
        <v>60.0</v>
      </c>
      <c r="G67" s="2">
        <v>0.0</v>
      </c>
      <c r="H67" s="2">
        <v>5.0</v>
      </c>
    </row>
    <row r="68" ht="22.5" customHeight="1">
      <c r="A68" s="5">
        <v>45969.0</v>
      </c>
      <c r="B68" s="2" t="s">
        <v>104</v>
      </c>
      <c r="C68" s="2" t="s">
        <v>77</v>
      </c>
      <c r="D68" s="2" t="s">
        <v>100</v>
      </c>
      <c r="E68" s="2" t="s">
        <v>121</v>
      </c>
      <c r="F68" s="2">
        <v>8.0</v>
      </c>
      <c r="G68" s="2">
        <v>15.0</v>
      </c>
      <c r="H68" s="2">
        <v>0.5</v>
      </c>
    </row>
    <row r="69" ht="22.5" customHeight="1">
      <c r="A69" s="2" t="s">
        <v>145</v>
      </c>
      <c r="B69" s="9"/>
      <c r="C69" s="9"/>
      <c r="D69" s="9"/>
      <c r="E69" s="9"/>
      <c r="F69" s="10">
        <f t="shared" ref="F69:H69" si="1">SUBTOTAL(9,F$2:F68)</f>
        <v>695.1</v>
      </c>
      <c r="G69" s="10">
        <f t="shared" si="1"/>
        <v>338.8</v>
      </c>
      <c r="H69" s="10">
        <f t="shared" si="1"/>
        <v>278.5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28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ht="22.5" customHeight="1">
      <c r="A2" s="5">
        <v>45936.0</v>
      </c>
      <c r="B2" s="11">
        <v>0.4166666666666667</v>
      </c>
      <c r="C2" s="2" t="s">
        <v>151</v>
      </c>
      <c r="D2" s="2">
        <v>40.0</v>
      </c>
      <c r="E2" s="2" t="s">
        <v>152</v>
      </c>
      <c r="F2" s="2" t="s">
        <v>153</v>
      </c>
    </row>
    <row r="3" ht="22.5" customHeight="1">
      <c r="A3" s="5">
        <v>45936.0</v>
      </c>
      <c r="B3" s="11">
        <v>0.4444444444444444</v>
      </c>
      <c r="C3" s="2" t="s">
        <v>154</v>
      </c>
      <c r="D3" s="2">
        <v>20.0</v>
      </c>
      <c r="E3" s="2" t="s">
        <v>155</v>
      </c>
      <c r="F3" s="2" t="s">
        <v>156</v>
      </c>
    </row>
    <row r="4" ht="22.5" customHeight="1">
      <c r="A4" s="7">
        <v>45967.0</v>
      </c>
      <c r="B4" s="11">
        <v>0.7277777777777777</v>
      </c>
      <c r="C4" s="2" t="s">
        <v>154</v>
      </c>
      <c r="D4" s="2">
        <v>46.0</v>
      </c>
      <c r="E4" s="2" t="s">
        <v>152</v>
      </c>
      <c r="F4" s="2" t="s">
        <v>157</v>
      </c>
    </row>
    <row r="5" ht="22.5" customHeight="1">
      <c r="A5" s="12">
        <v>45968.0</v>
      </c>
      <c r="B5" s="13">
        <v>0.6458333333333334</v>
      </c>
      <c r="C5" s="2" t="s">
        <v>154</v>
      </c>
      <c r="D5" s="14">
        <v>49.0</v>
      </c>
      <c r="E5" s="14" t="s">
        <v>152</v>
      </c>
      <c r="F5" s="2" t="s">
        <v>158</v>
      </c>
    </row>
    <row r="6" ht="22.5" customHeight="1">
      <c r="A6" s="3"/>
      <c r="B6" s="3"/>
      <c r="C6" s="3"/>
      <c r="D6" s="3"/>
      <c r="E6" s="3"/>
      <c r="F6" s="3"/>
    </row>
    <row r="7" ht="22.5" customHeight="1">
      <c r="A7" s="3"/>
      <c r="B7" s="3"/>
      <c r="C7" s="3"/>
      <c r="D7" s="3"/>
      <c r="E7" s="3"/>
      <c r="F7" s="3"/>
    </row>
    <row r="8" ht="22.5" customHeight="1">
      <c r="A8" s="3"/>
      <c r="B8" s="3"/>
      <c r="C8" s="3"/>
      <c r="D8" s="3"/>
      <c r="E8" s="3"/>
      <c r="F8" s="3"/>
    </row>
    <row r="9" ht="22.5" customHeight="1">
      <c r="A9" s="3"/>
      <c r="B9" s="3"/>
      <c r="C9" s="3"/>
      <c r="D9" s="3"/>
      <c r="E9" s="3"/>
      <c r="F9" s="3"/>
    </row>
    <row r="10" ht="22.5" customHeight="1">
      <c r="A10" s="3"/>
      <c r="B10" s="3"/>
      <c r="C10" s="3"/>
      <c r="D10" s="3"/>
      <c r="E10" s="3"/>
      <c r="F10" s="3"/>
    </row>
    <row r="11" ht="22.5" customHeight="1">
      <c r="A11" s="3"/>
      <c r="B11" s="3"/>
      <c r="C11" s="3"/>
      <c r="D11" s="3"/>
      <c r="E11" s="3"/>
      <c r="F11" s="3"/>
    </row>
    <row r="12" ht="22.5" customHeight="1">
      <c r="A12" s="3"/>
      <c r="B12" s="3"/>
      <c r="C12" s="3"/>
      <c r="D12" s="3"/>
      <c r="E12" s="3"/>
      <c r="F12" s="3"/>
    </row>
    <row r="13" ht="22.5" customHeight="1">
      <c r="A13" s="3"/>
      <c r="B13" s="3"/>
      <c r="C13" s="3"/>
      <c r="D13" s="3"/>
      <c r="E13" s="3"/>
      <c r="F13" s="3"/>
    </row>
    <row r="14" ht="22.5" customHeight="1">
      <c r="A14" s="3"/>
      <c r="B14" s="3"/>
      <c r="C14" s="3"/>
      <c r="D14" s="3"/>
      <c r="E14" s="3"/>
      <c r="F14" s="3"/>
    </row>
    <row r="15" ht="22.5" customHeight="1">
      <c r="A15" s="10" t="s">
        <v>145</v>
      </c>
      <c r="B15" s="3"/>
      <c r="C15" s="3"/>
      <c r="D15" s="15">
        <f>SUM(D2:D14)</f>
        <v>155</v>
      </c>
      <c r="E15" s="3"/>
      <c r="F15" s="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2.63"/>
    <col customWidth="1" min="4" max="4" width="71.25"/>
  </cols>
  <sheetData>
    <row r="1">
      <c r="A1" s="16" t="s">
        <v>159</v>
      </c>
      <c r="B1" s="16" t="s">
        <v>160</v>
      </c>
      <c r="C1" s="16" t="s">
        <v>161</v>
      </c>
      <c r="D1" s="16" t="s">
        <v>162</v>
      </c>
      <c r="E1" s="16"/>
      <c r="F1" s="16"/>
      <c r="G1" s="16"/>
    </row>
    <row r="2">
      <c r="A2" s="17" t="s">
        <v>163</v>
      </c>
      <c r="B2" s="17" t="s">
        <v>164</v>
      </c>
      <c r="C2" s="16" t="s">
        <v>165</v>
      </c>
      <c r="D2" s="16" t="s">
        <v>166</v>
      </c>
      <c r="E2" s="17" t="s">
        <v>167</v>
      </c>
      <c r="F2" s="16" t="s">
        <v>168</v>
      </c>
      <c r="G2" s="17"/>
    </row>
    <row r="3">
      <c r="A3" s="17" t="s">
        <v>169</v>
      </c>
      <c r="B3" s="17" t="s">
        <v>170</v>
      </c>
      <c r="C3" s="16" t="s">
        <v>165</v>
      </c>
      <c r="D3" s="16" t="s">
        <v>171</v>
      </c>
      <c r="E3" s="17" t="s">
        <v>172</v>
      </c>
      <c r="F3" s="16" t="s">
        <v>173</v>
      </c>
      <c r="G3" s="17"/>
    </row>
    <row r="4">
      <c r="A4" s="17" t="s">
        <v>174</v>
      </c>
      <c r="B4" s="17" t="s">
        <v>175</v>
      </c>
      <c r="C4" s="16" t="s">
        <v>165</v>
      </c>
      <c r="D4" s="16" t="s">
        <v>176</v>
      </c>
      <c r="E4" s="17" t="s">
        <v>177</v>
      </c>
      <c r="F4" s="16" t="s">
        <v>178</v>
      </c>
      <c r="G4" s="17"/>
    </row>
    <row r="5">
      <c r="A5" s="17" t="s">
        <v>179</v>
      </c>
      <c r="B5" s="17" t="s">
        <v>180</v>
      </c>
      <c r="C5" s="16" t="s">
        <v>181</v>
      </c>
      <c r="D5" s="16" t="s">
        <v>182</v>
      </c>
      <c r="E5" s="17" t="s">
        <v>183</v>
      </c>
      <c r="F5" s="16" t="s">
        <v>184</v>
      </c>
    </row>
    <row r="6">
      <c r="A6" s="17" t="s">
        <v>185</v>
      </c>
      <c r="B6" s="17" t="s">
        <v>186</v>
      </c>
      <c r="C6" s="16" t="s">
        <v>187</v>
      </c>
      <c r="D6" s="16" t="s">
        <v>188</v>
      </c>
      <c r="E6" s="17" t="s">
        <v>189</v>
      </c>
      <c r="F6" s="16" t="s">
        <v>190</v>
      </c>
    </row>
    <row r="7">
      <c r="A7" s="17" t="s">
        <v>191</v>
      </c>
      <c r="B7" s="17" t="s">
        <v>192</v>
      </c>
      <c r="C7" s="16" t="s">
        <v>193</v>
      </c>
      <c r="D7" s="16" t="s">
        <v>194</v>
      </c>
      <c r="E7" s="17"/>
      <c r="F7" s="16"/>
    </row>
    <row r="8">
      <c r="A8" s="17" t="s">
        <v>195</v>
      </c>
      <c r="B8" s="17" t="s">
        <v>196</v>
      </c>
      <c r="C8" s="16" t="s">
        <v>197</v>
      </c>
      <c r="D8" s="16" t="s">
        <v>198</v>
      </c>
      <c r="E8" s="17"/>
      <c r="F8" s="16"/>
    </row>
    <row r="9">
      <c r="E9" s="17"/>
      <c r="F9" s="16"/>
    </row>
    <row r="10">
      <c r="A10" s="16" t="s">
        <v>199</v>
      </c>
      <c r="B10" s="16" t="s">
        <v>200</v>
      </c>
      <c r="C10" s="16" t="s">
        <v>161</v>
      </c>
      <c r="D10" s="16" t="s">
        <v>162</v>
      </c>
      <c r="E10" s="17"/>
      <c r="F10" s="16"/>
    </row>
    <row r="11">
      <c r="A11" s="17" t="s">
        <v>154</v>
      </c>
      <c r="B11" s="17" t="s">
        <v>201</v>
      </c>
      <c r="C11" s="16" t="s">
        <v>202</v>
      </c>
      <c r="D11" s="18" t="s">
        <v>203</v>
      </c>
      <c r="E11" s="17"/>
      <c r="F11" s="16"/>
    </row>
    <row r="12">
      <c r="A12" s="16"/>
      <c r="B12" s="16"/>
      <c r="C12" s="16"/>
      <c r="D12" s="16"/>
      <c r="E12" s="17"/>
      <c r="F12" s="16"/>
    </row>
    <row r="13">
      <c r="A13" s="16" t="s">
        <v>204</v>
      </c>
      <c r="B13" s="16" t="s">
        <v>205</v>
      </c>
      <c r="C13" s="16" t="s">
        <v>161</v>
      </c>
      <c r="D13" s="16" t="s">
        <v>162</v>
      </c>
      <c r="E13" s="17"/>
      <c r="F13" s="16"/>
    </row>
    <row r="14">
      <c r="A14" s="17" t="s">
        <v>206</v>
      </c>
      <c r="B14" s="17" t="s">
        <v>207</v>
      </c>
      <c r="C14" s="16" t="s">
        <v>208</v>
      </c>
      <c r="D14" s="16" t="s">
        <v>209</v>
      </c>
      <c r="E14" s="17" t="s">
        <v>210</v>
      </c>
      <c r="F14" s="16" t="s">
        <v>211</v>
      </c>
    </row>
    <row r="15">
      <c r="A15" s="17" t="s">
        <v>212</v>
      </c>
      <c r="B15" s="17" t="s">
        <v>213</v>
      </c>
      <c r="C15" s="16" t="s">
        <v>214</v>
      </c>
      <c r="D15" s="16" t="s">
        <v>215</v>
      </c>
      <c r="E15" s="17" t="s">
        <v>216</v>
      </c>
      <c r="F15" s="16" t="s">
        <v>217</v>
      </c>
    </row>
    <row r="16">
      <c r="A16" s="17" t="s">
        <v>169</v>
      </c>
      <c r="B16" s="17" t="s">
        <v>218</v>
      </c>
      <c r="C16" s="16" t="s">
        <v>181</v>
      </c>
      <c r="D16" s="16" t="s">
        <v>219</v>
      </c>
      <c r="E16" s="17" t="s">
        <v>220</v>
      </c>
      <c r="F16" s="16" t="s">
        <v>221</v>
      </c>
    </row>
    <row r="17">
      <c r="A17" s="17" t="s">
        <v>222</v>
      </c>
      <c r="B17" s="17" t="s">
        <v>223</v>
      </c>
      <c r="C17" s="16" t="s">
        <v>224</v>
      </c>
      <c r="D17" s="16" t="s">
        <v>225</v>
      </c>
      <c r="E17" s="17" t="s">
        <v>226</v>
      </c>
      <c r="F17" s="16" t="s">
        <v>227</v>
      </c>
    </row>
    <row r="18">
      <c r="A18" s="17" t="s">
        <v>191</v>
      </c>
      <c r="B18" s="17" t="s">
        <v>228</v>
      </c>
      <c r="C18" s="16" t="s">
        <v>187</v>
      </c>
      <c r="D18" s="16" t="s">
        <v>229</v>
      </c>
      <c r="E18" s="17" t="s">
        <v>230</v>
      </c>
      <c r="F18" s="16" t="s">
        <v>231</v>
      </c>
    </row>
    <row r="19">
      <c r="A19" s="17" t="s">
        <v>185</v>
      </c>
      <c r="B19" s="17" t="s">
        <v>232</v>
      </c>
      <c r="C19" s="16" t="s">
        <v>187</v>
      </c>
      <c r="D19" s="16" t="s">
        <v>233</v>
      </c>
      <c r="E19" s="17" t="s">
        <v>234</v>
      </c>
      <c r="F19" s="16"/>
    </row>
    <row r="20">
      <c r="A20" s="17" t="s">
        <v>195</v>
      </c>
      <c r="B20" s="17" t="s">
        <v>235</v>
      </c>
      <c r="C20" s="16" t="s">
        <v>236</v>
      </c>
      <c r="D20" s="16" t="s">
        <v>237</v>
      </c>
      <c r="E20" s="17"/>
      <c r="F20" s="16"/>
    </row>
    <row r="21">
      <c r="E21" s="17"/>
      <c r="F21" s="16"/>
    </row>
    <row r="22">
      <c r="A22" s="16" t="s">
        <v>238</v>
      </c>
      <c r="B22" s="16" t="s">
        <v>200</v>
      </c>
      <c r="C22" s="16" t="s">
        <v>161</v>
      </c>
      <c r="D22" s="16" t="s">
        <v>162</v>
      </c>
      <c r="E22" s="17"/>
      <c r="F22" s="16"/>
    </row>
    <row r="23">
      <c r="A23" s="17" t="s">
        <v>154</v>
      </c>
      <c r="B23" s="17" t="s">
        <v>201</v>
      </c>
      <c r="C23" s="16" t="s">
        <v>202</v>
      </c>
      <c r="D23" s="18" t="s">
        <v>203</v>
      </c>
      <c r="E23" s="17"/>
      <c r="F23" s="16"/>
    </row>
    <row r="24">
      <c r="A24" s="16"/>
      <c r="B24" s="16"/>
      <c r="C24" s="16"/>
      <c r="D24" s="16"/>
      <c r="E24" s="17"/>
      <c r="F24" s="16"/>
    </row>
    <row r="25">
      <c r="A25" s="16" t="s">
        <v>239</v>
      </c>
      <c r="B25" s="16" t="s">
        <v>240</v>
      </c>
      <c r="C25" s="16" t="s">
        <v>161</v>
      </c>
      <c r="D25" s="16" t="s">
        <v>162</v>
      </c>
      <c r="E25" s="17"/>
      <c r="F25" s="16"/>
    </row>
    <row r="26">
      <c r="A26" s="17" t="s">
        <v>241</v>
      </c>
      <c r="B26" s="17" t="s">
        <v>242</v>
      </c>
      <c r="C26" s="16" t="s">
        <v>243</v>
      </c>
      <c r="D26" s="16" t="s">
        <v>244</v>
      </c>
      <c r="E26" s="17" t="s">
        <v>234</v>
      </c>
      <c r="F26" s="16" t="s">
        <v>245</v>
      </c>
    </row>
    <row r="27">
      <c r="A27" s="17" t="s">
        <v>246</v>
      </c>
      <c r="B27" s="17" t="s">
        <v>247</v>
      </c>
      <c r="C27" s="16" t="s">
        <v>181</v>
      </c>
      <c r="D27" s="16" t="s">
        <v>248</v>
      </c>
      <c r="E27" s="17" t="s">
        <v>172</v>
      </c>
      <c r="F27" s="16"/>
    </row>
    <row r="28">
      <c r="A28" s="17" t="s">
        <v>169</v>
      </c>
      <c r="B28" s="17" t="s">
        <v>249</v>
      </c>
      <c r="C28" s="16" t="s">
        <v>224</v>
      </c>
      <c r="D28" s="16" t="s">
        <v>250</v>
      </c>
      <c r="E28" s="17" t="s">
        <v>189</v>
      </c>
      <c r="F28" s="16" t="s">
        <v>190</v>
      </c>
    </row>
    <row r="29">
      <c r="A29" s="17" t="s">
        <v>251</v>
      </c>
      <c r="B29" s="17" t="s">
        <v>252</v>
      </c>
      <c r="C29" s="16" t="s">
        <v>253</v>
      </c>
      <c r="D29" s="16" t="s">
        <v>254</v>
      </c>
      <c r="E29" s="17" t="s">
        <v>234</v>
      </c>
      <c r="F29" s="16"/>
    </row>
    <row r="30">
      <c r="A30" s="17" t="s">
        <v>191</v>
      </c>
      <c r="B30" s="17" t="s">
        <v>255</v>
      </c>
      <c r="C30" s="16" t="s">
        <v>256</v>
      </c>
      <c r="D30" s="16" t="s">
        <v>257</v>
      </c>
      <c r="E30" s="17" t="s">
        <v>189</v>
      </c>
      <c r="F30" s="16"/>
    </row>
    <row r="31">
      <c r="A31" s="17" t="s">
        <v>185</v>
      </c>
      <c r="B31" s="17" t="s">
        <v>258</v>
      </c>
      <c r="C31" s="16" t="s">
        <v>259</v>
      </c>
      <c r="D31" s="16" t="s">
        <v>260</v>
      </c>
      <c r="E31" s="17" t="s">
        <v>189</v>
      </c>
      <c r="F31" s="16"/>
    </row>
    <row r="32">
      <c r="A32" s="17" t="s">
        <v>195</v>
      </c>
      <c r="B32" s="17" t="s">
        <v>261</v>
      </c>
      <c r="C32" s="16" t="s">
        <v>262</v>
      </c>
      <c r="D32" s="16" t="s">
        <v>263</v>
      </c>
      <c r="E32" s="17" t="s">
        <v>172</v>
      </c>
      <c r="F32" s="16"/>
    </row>
    <row r="34">
      <c r="A34" s="16" t="s">
        <v>264</v>
      </c>
      <c r="B34" s="16" t="s">
        <v>200</v>
      </c>
      <c r="C34" s="16" t="s">
        <v>161</v>
      </c>
      <c r="D34" s="16" t="s">
        <v>162</v>
      </c>
    </row>
    <row r="35">
      <c r="A35" s="17" t="s">
        <v>154</v>
      </c>
      <c r="B35" s="17" t="s">
        <v>201</v>
      </c>
      <c r="C35" s="16" t="s">
        <v>202</v>
      </c>
      <c r="D35" s="18" t="s">
        <v>203</v>
      </c>
    </row>
    <row r="37">
      <c r="A37" s="19" t="s">
        <v>265</v>
      </c>
    </row>
    <row r="38">
      <c r="A38" s="20"/>
    </row>
    <row r="39">
      <c r="A39" s="21" t="s">
        <v>266</v>
      </c>
      <c r="B39" s="18" t="s">
        <v>267</v>
      </c>
    </row>
    <row r="40">
      <c r="A40" s="21" t="s">
        <v>268</v>
      </c>
      <c r="B40" s="18" t="s">
        <v>269</v>
      </c>
    </row>
    <row r="41">
      <c r="A41" s="21" t="s">
        <v>270</v>
      </c>
      <c r="B41" s="18" t="s">
        <v>271</v>
      </c>
    </row>
    <row r="42">
      <c r="A42" s="22"/>
    </row>
    <row r="43">
      <c r="A43" s="16" t="s">
        <v>272</v>
      </c>
      <c r="B43" s="16" t="s">
        <v>273</v>
      </c>
      <c r="C43" s="16" t="s">
        <v>274</v>
      </c>
    </row>
    <row r="44">
      <c r="A44" s="17" t="s">
        <v>275</v>
      </c>
      <c r="B44" s="17" t="s">
        <v>276</v>
      </c>
      <c r="C44" s="16" t="s">
        <v>277</v>
      </c>
    </row>
    <row r="45">
      <c r="A45" s="17" t="s">
        <v>278</v>
      </c>
      <c r="B45" s="17" t="s">
        <v>279</v>
      </c>
      <c r="C45" s="16" t="s">
        <v>280</v>
      </c>
    </row>
    <row r="46">
      <c r="A46" s="17" t="s">
        <v>281</v>
      </c>
      <c r="B46" s="17" t="s">
        <v>282</v>
      </c>
      <c r="C46" s="16" t="s">
        <v>283</v>
      </c>
    </row>
    <row r="47">
      <c r="A47" s="17" t="s">
        <v>284</v>
      </c>
      <c r="B47" s="17" t="s">
        <v>285</v>
      </c>
      <c r="C47" s="17" t="s">
        <v>286</v>
      </c>
    </row>
  </sheetData>
  <drawing r:id="rId1"/>
</worksheet>
</file>